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MV Waterfall 2024" sheetId="2" state="visible" r:id="rId2"/>
    <sheet name="3-Year Channel Trend" sheetId="3" state="visible" r:id="rId3"/>
    <sheet name="2026 Momentum" sheetId="4" state="visible" r:id="rId4"/>
    <sheet name="Channel &amp; Demand Detail" sheetId="5" state="visible" r:id="rId5"/>
    <sheet name="Note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9"/>
    </font>
    <font>
      <name val="Calibri"/>
      <i val="1"/>
      <color rgb="007F6000"/>
      <sz val="9"/>
    </font>
    <font>
      <name val="Calibri"/>
      <i val="1"/>
      <sz val="10"/>
    </font>
    <font>
      <name val="Calibri"/>
      <i val="1"/>
      <color rgb="001F3864"/>
      <sz val="9"/>
    </font>
    <font>
      <name val="Calibri"/>
      <i val="1"/>
      <sz val="9"/>
    </font>
    <font>
      <name val="Calibri"/>
      <b val="1"/>
      <i val="1"/>
      <sz val="9"/>
    </font>
    <font>
      <name val="Calibri"/>
      <b val="1"/>
      <color rgb="00FFFFFF"/>
      <sz val="11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49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 wrapText="1"/>
    </xf>
    <xf numFmtId="0" fontId="0" fillId="7" borderId="1" pivotButton="0" quotePrefix="0" xfId="0"/>
    <xf numFmtId="0" fontId="7" fillId="7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7" fillId="4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10" fillId="9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top"/>
    </xf>
    <xf numFmtId="0" fontId="14" fillId="7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/>
    </xf>
    <xf numFmtId="0" fontId="1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 xml:space="preserve">  SPLITFLASK — Commercial Performance Summary</t>
        </is>
      </c>
    </row>
    <row r="2" ht="16" customHeight="1">
      <c r="A2" s="2" t="inlineStr">
        <is>
          <t>Splitflask Dual-Chamber Tumbler  |  Confidential  |  For Diligence Use Only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4" t="inlineStr">
        <is>
          <t>3-YEAR GMV TRAJECTORY  (Splitflask tumbler only — all channels)</t>
        </is>
      </c>
    </row>
    <row r="5" ht="18" customHeight="1">
      <c r="A5" s="5" t="inlineStr">
        <is>
          <t>Year</t>
        </is>
      </c>
      <c r="B5" s="5" t="inlineStr">
        <is>
          <t>GMV</t>
        </is>
      </c>
      <c r="C5" s="5" t="inlineStr">
        <is>
          <t>YoY Change</t>
        </is>
      </c>
      <c r="D5" s="5" t="inlineStr">
        <is>
          <t>Channel Count</t>
        </is>
      </c>
      <c r="E5" s="5" t="inlineStr">
        <is>
          <t>Status</t>
        </is>
      </c>
      <c r="F5" s="5" t="inlineStr">
        <is>
          <t>On-Air Reference</t>
        </is>
      </c>
      <c r="G5" s="5" t="inlineStr">
        <is>
          <t>Key Narrative</t>
        </is>
      </c>
      <c r="H5" s="5" t="inlineStr"/>
    </row>
    <row r="6">
      <c r="A6" s="6" t="inlineStr">
        <is>
          <t>2024</t>
        </is>
      </c>
      <c r="B6" s="7" t="n">
        <v>751891</v>
      </c>
      <c r="C6" s="6" t="n"/>
      <c r="D6" s="7" t="n">
        <v>4</v>
      </c>
      <c r="E6" s="6" t="inlineStr">
        <is>
          <t>VERIFIED</t>
        </is>
      </c>
      <c r="F6" s="8" t="inlineStr">
        <is>
          <t>$895,754 deposits (on-air)</t>
        </is>
      </c>
      <c r="G6" s="9" t="inlineStr">
        <is>
          <t>Launch year — full channel mix</t>
        </is>
      </c>
      <c r="H6" s="6" t="inlineStr"/>
    </row>
    <row r="7">
      <c r="A7" s="10" t="inlineStr">
        <is>
          <t>2025</t>
        </is>
      </c>
      <c r="B7" s="11" t="n">
        <v>513987</v>
      </c>
      <c r="C7" s="12" t="n">
        <v>-0.3162</v>
      </c>
      <c r="D7" s="11" t="n">
        <v>4</v>
      </c>
      <c r="E7" s="10" t="inlineStr">
        <is>
          <t>VERIFIED</t>
        </is>
      </c>
      <c r="F7" s="10" t="inlineStr">
        <is>
          <t>$499,000 (on-air ≈ GMV)</t>
        </is>
      </c>
      <c r="G7" s="13" t="inlineStr">
        <is>
          <t>Transition year — entity restructure; TikTok wind-down</t>
        </is>
      </c>
      <c r="H7" s="10" t="inlineStr"/>
    </row>
    <row r="8">
      <c r="A8" s="14" t="inlineStr">
        <is>
          <t>2026 H1 (Jan–Jun)</t>
        </is>
      </c>
      <c r="B8" s="15" t="n">
        <v>106411</v>
      </c>
      <c r="C8" s="14" t="n"/>
      <c r="D8" s="15" t="n">
        <v>3</v>
      </c>
      <c r="E8" s="14" t="inlineStr">
        <is>
          <t>PRELIMINARY ⚠ (intl B2 verified)</t>
        </is>
      </c>
      <c r="F8" s="14" t="inlineStr">
        <is>
          <t>Post-Shark Tank / Kendra</t>
        </is>
      </c>
      <c r="G8" s="16" t="inlineStr">
        <is>
          <t>Re-acceleration underway; wholesale open</t>
        </is>
      </c>
      <c r="H8" s="14" t="inlineStr"/>
    </row>
    <row r="9">
      <c r="A9" s="17" t="inlineStr">
        <is>
          <t>2026 Conservative Annualized</t>
        </is>
      </c>
      <c r="B9" s="18" t="n">
        <v>212822</v>
      </c>
      <c r="C9" s="17" t="n"/>
      <c r="D9" s="17" t="n"/>
      <c r="E9" s="17" t="inlineStr">
        <is>
          <t>LABELED PROJECTION</t>
        </is>
      </c>
      <c r="F9" s="17" t="inlineStr">
        <is>
          <t>H1 × 2 straight-line</t>
        </is>
      </c>
      <c r="G9" s="19" t="inlineStr">
        <is>
          <t>NOT adjusting for Shark Tank spike; see tab 2026 Momentum</t>
        </is>
      </c>
      <c r="H9" s="17" t="inlineStr"/>
    </row>
    <row r="10" ht="8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0" customHeight="1">
      <c r="A11" s="4" t="inlineStr">
        <is>
          <t>2024 DEMAND WATERFALL  (verified, bank + platform sourced)</t>
        </is>
      </c>
    </row>
    <row r="12" ht="16" customHeight="1">
      <c r="A12" s="13" t="inlineStr">
        <is>
          <t>Total deposits through business</t>
        </is>
      </c>
      <c r="B12" s="11" t="n">
        <v>895754</v>
      </c>
      <c r="C12" s="20" t="inlineStr">
        <is>
          <t>← All inflows; 2024 on-air reference</t>
        </is>
      </c>
      <c r="D12" s="21" t="n"/>
      <c r="E12" s="21" t="n"/>
      <c r="F12" s="21" t="n"/>
      <c r="G12" s="21" t="n"/>
      <c r="H12" s="22" t="n"/>
    </row>
    <row r="13" ht="16" customHeight="1">
      <c r="A13" s="23" t="inlineStr">
        <is>
          <t>List-price demand</t>
        </is>
      </c>
      <c r="B13" s="24" t="n">
        <v>1032079</v>
      </c>
      <c r="C13" s="25" t="inlineStr">
        <is>
          <t>Gross consumer demand before promos</t>
        </is>
      </c>
      <c r="D13" s="21" t="n"/>
      <c r="E13" s="21" t="n"/>
      <c r="F13" s="21" t="n"/>
      <c r="G13" s="21" t="n"/>
      <c r="H13" s="22" t="n"/>
    </row>
    <row r="14" ht="16" customHeight="1">
      <c r="A14" s="13" t="inlineStr">
        <is>
          <t>Promotional discounts</t>
        </is>
      </c>
      <c r="B14" s="11" t="n">
        <v>-280188</v>
      </c>
      <c r="C14" s="20" t="inlineStr">
        <is>
          <t>Documented promo / discount programs</t>
        </is>
      </c>
      <c r="D14" s="21" t="n"/>
      <c r="E14" s="21" t="n"/>
      <c r="F14" s="21" t="n"/>
      <c r="G14" s="21" t="n"/>
      <c r="H14" s="22" t="n"/>
    </row>
    <row r="15" ht="16" customHeight="1">
      <c r="A15" s="9" t="inlineStr">
        <is>
          <t>GMV — consumer-paid</t>
        </is>
      </c>
      <c r="B15" s="7" t="n">
        <v>751891</v>
      </c>
      <c r="C15" s="26" t="inlineStr">
        <is>
          <t>LOCKED | 4 channels</t>
        </is>
      </c>
      <c r="D15" s="21" t="n"/>
      <c r="E15" s="21" t="n"/>
      <c r="F15" s="21" t="n"/>
      <c r="G15" s="21" t="n"/>
      <c r="H15" s="22" t="n"/>
    </row>
    <row r="16" ht="16" customHeight="1">
      <c r="A16" s="13" t="inlineStr">
        <is>
          <t>Net revenue (after platform fees)</t>
        </is>
      </c>
      <c r="B16" s="11" t="n">
        <v>560938</v>
      </c>
      <c r="C16" s="20" t="inlineStr">
        <is>
          <t>Bank-tied; fee-substantiated</t>
        </is>
      </c>
      <c r="D16" s="21" t="n"/>
      <c r="E16" s="21" t="n"/>
      <c r="F16" s="21" t="n"/>
      <c r="G16" s="21" t="n"/>
      <c r="H16" s="22" t="n"/>
    </row>
    <row r="17" ht="8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20" customHeight="1">
      <c r="A18" s="4" t="inlineStr">
        <is>
          <t>BRAND ASSETS</t>
        </is>
      </c>
    </row>
    <row r="19" ht="16" customHeight="1">
      <c r="A19" s="27" t="inlineStr">
        <is>
          <t>US Patent</t>
        </is>
      </c>
      <c r="B19" s="19" t="inlineStr">
        <is>
          <t>12,577,032 B2</t>
        </is>
      </c>
      <c r="C19" s="21" t="n"/>
      <c r="D19" s="22" t="n"/>
      <c r="E19" s="28" t="inlineStr">
        <is>
          <t>Dual-chamber tumbler design — issued, held by brand</t>
        </is>
      </c>
      <c r="F19" s="21" t="n"/>
      <c r="G19" s="21" t="n"/>
      <c r="H19" s="22" t="n"/>
    </row>
    <row r="20" ht="16" customHeight="1">
      <c r="A20" s="29" t="inlineStr">
        <is>
          <t>Channels</t>
        </is>
      </c>
      <c r="B20" s="13" t="inlineStr">
        <is>
          <t>Amazon · Shopify · TikTok Shop · Wholesale</t>
        </is>
      </c>
      <c r="C20" s="21" t="n"/>
      <c r="D20" s="22" t="n"/>
      <c r="E20" s="20" t="inlineStr">
        <is>
          <t>Multi-channel distribution established</t>
        </is>
      </c>
      <c r="F20" s="21" t="n"/>
      <c r="G20" s="21" t="n"/>
      <c r="H20" s="22" t="n"/>
    </row>
    <row r="21" ht="16" customHeight="1">
      <c r="A21" s="27" t="inlineStr">
        <is>
          <t>Wholesale Accounts</t>
        </is>
      </c>
      <c r="B21" s="19" t="inlineStr">
        <is>
          <t>ESP (~$57.6K 2024) · Von Maur · Knocking · SATS</t>
        </is>
      </c>
      <c r="C21" s="21" t="n"/>
      <c r="D21" s="22" t="n"/>
      <c r="E21" s="28" t="inlineStr">
        <is>
          <t>B2B retail placements; reorders confirmed</t>
        </is>
      </c>
      <c r="F21" s="21" t="n"/>
      <c r="G21" s="21" t="n"/>
      <c r="H21" s="22" t="n"/>
    </row>
    <row r="22" ht="16" customHeight="1">
      <c r="A22" s="29" t="inlineStr">
        <is>
          <t>Retail Expansion</t>
        </is>
      </c>
      <c r="B22" s="13" t="inlineStr">
        <is>
          <t>Best Buy &amp; Walmart via Mirakl (live Dec 2025)</t>
        </is>
      </c>
      <c r="C22" s="21" t="n"/>
      <c r="D22" s="22" t="n"/>
      <c r="E22" s="20" t="inlineStr">
        <is>
          <t>Nascent; revenue inflecting 2026</t>
        </is>
      </c>
      <c r="F22" s="21" t="n"/>
      <c r="G22" s="21" t="n"/>
      <c r="H22" s="22" t="n"/>
    </row>
    <row r="23" ht="16" customHeight="1">
      <c r="A23" s="27" t="inlineStr">
        <is>
          <t>International</t>
        </is>
      </c>
      <c r="B23" s="19" t="inlineStr">
        <is>
          <t>Amazon MX, CA, SG, AU · Kuwait · AU/JP/TW distributors</t>
        </is>
      </c>
      <c r="C23" s="21" t="n"/>
      <c r="D23" s="22" t="n"/>
      <c r="E23" s="28" t="inlineStr">
        <is>
          <t>Multi-market footprint; early stage</t>
        </is>
      </c>
      <c r="F23" s="21" t="n"/>
      <c r="G23" s="21" t="n"/>
      <c r="H23" s="22" t="n"/>
    </row>
    <row r="24" ht="8" customHeight="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24" customHeight="1">
      <c r="A25" s="30" t="inlineStr">
        <is>
          <t>⚠  This workbook covers SPLITFLASK TUMBLER commercial performance only. No tax figures, entity P&amp;L, losses, or Cyberbackpack content anywhere in this file. See tab 'Notes &amp; Sources' for denominator definition and verification status.</t>
        </is>
      </c>
    </row>
  </sheetData>
  <mergeCells count="21">
    <mergeCell ref="C16:H16"/>
    <mergeCell ref="B23:D23"/>
    <mergeCell ref="A1:H1"/>
    <mergeCell ref="C12:H12"/>
    <mergeCell ref="E22:H22"/>
    <mergeCell ref="B19:D19"/>
    <mergeCell ref="A25:H25"/>
    <mergeCell ref="E21:H21"/>
    <mergeCell ref="A11:D11"/>
    <mergeCell ref="B20:D20"/>
    <mergeCell ref="A18:H18"/>
    <mergeCell ref="E23:H23"/>
    <mergeCell ref="C13:H13"/>
    <mergeCell ref="A2:H2"/>
    <mergeCell ref="E20:H20"/>
    <mergeCell ref="E19:H19"/>
    <mergeCell ref="C15:H15"/>
    <mergeCell ref="A4:H4"/>
    <mergeCell ref="C14:H14"/>
    <mergeCell ref="B22:D22"/>
    <mergeCell ref="B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6" customWidth="1" min="4" max="4"/>
    <col width="32" customWidth="1" min="5" max="5"/>
  </cols>
  <sheetData>
    <row r="1" ht="30" customHeight="1">
      <c r="A1" s="1" t="inlineStr">
        <is>
          <t xml:space="preserve">  2024 DEMAND WATERFALL — Splitflask Tumbler</t>
        </is>
      </c>
    </row>
    <row r="2" ht="16" customHeight="1">
      <c r="A2" s="2" t="inlineStr">
        <is>
          <t>Every tier tied to a documented source. Bank-verified + platform-verified. LOCKED.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8" customHeight="1">
      <c r="A4" s="5" t="inlineStr">
        <is>
          <t>Tier</t>
        </is>
      </c>
      <c r="B4" s="5" t="inlineStr">
        <is>
          <t>Amount</t>
        </is>
      </c>
      <c r="C4" s="5" t="inlineStr">
        <is>
          <t>vs GMV</t>
        </is>
      </c>
      <c r="D4" s="5" t="inlineStr"/>
      <c r="E4" s="5" t="inlineStr">
        <is>
          <t>Source / Explanation</t>
        </is>
      </c>
    </row>
    <row r="5" ht="28" customHeight="1">
      <c r="A5" s="19" t="inlineStr">
        <is>
          <t>Total Deposits Through Business</t>
        </is>
      </c>
      <c r="B5" s="18" t="n">
        <v>895754</v>
      </c>
      <c r="C5" s="17" t="n"/>
      <c r="D5" s="31" t="n"/>
      <c r="E5" s="32" t="inlineStr">
        <is>
          <t>All inflows to SGM WF …8625 (includes loans, intercompany, transfers). 2024 on-air reference. Bank-classified line-by-line; $895,754.12 penny-exact.</t>
        </is>
      </c>
    </row>
    <row r="6" ht="28" customHeight="1">
      <c r="A6" s="13" t="inlineStr">
        <is>
          <t>List-Price Demand (Gross)</t>
        </is>
      </c>
      <c r="B6" s="11" t="n">
        <v>1032079</v>
      </c>
      <c r="C6" s="10" t="n"/>
      <c r="D6" s="33" t="n"/>
      <c r="E6" s="34" t="inlineStr">
        <is>
          <t>Consumer demand at full list price, before any promotions. $1,032,079 = GMV $751,891 + promotional discounts $280,188.</t>
        </is>
      </c>
    </row>
    <row r="7" ht="28" customHeight="1">
      <c r="A7" s="19" t="inlineStr">
        <is>
          <t xml:space="preserve">  Less: Promotional Discounts</t>
        </is>
      </c>
      <c r="B7" s="18" t="n">
        <v>-280188</v>
      </c>
      <c r="C7" s="17" t="n"/>
      <c r="D7" s="31" t="n"/>
      <c r="E7" s="32" t="inlineStr">
        <is>
          <t>Documented discount programs, promo codes, and promotional pricing. Source: platform sales reports.</t>
        </is>
      </c>
    </row>
    <row r="8" ht="28" customHeight="1">
      <c r="A8" s="9" t="inlineStr">
        <is>
          <t>GMV — Consumer-Paid</t>
        </is>
      </c>
      <c r="B8" s="7" t="n">
        <v>751891</v>
      </c>
      <c r="C8" s="35" t="n">
        <v>1</v>
      </c>
      <c r="D8" s="36" t="n"/>
      <c r="E8" s="37" t="inlineStr">
        <is>
          <t>LOCKED. What customers actually paid. 4 channels: Amazon $321,251 · Shopify $188,569 charged · TikTok Shop $155,295 · Wholesale $86,776.</t>
        </is>
      </c>
    </row>
    <row r="9" ht="28" customHeight="1">
      <c r="A9" s="19" t="inlineStr">
        <is>
          <t xml:space="preserve">  Less: Platform Fees (substantiated)</t>
        </is>
      </c>
      <c r="B9" s="18" t="n">
        <v>-190953</v>
      </c>
      <c r="C9" s="17" t="n"/>
      <c r="D9" s="31" t="n"/>
      <c r="E9" s="32" t="inlineStr">
        <is>
          <t>Amazon referral + FBA $52,007; TikTok stated fees $51,352; Shopify Payments ~$5,276. Sourced from settlement reports — NOT plugged.</t>
        </is>
      </c>
    </row>
    <row r="10" ht="28" customHeight="1">
      <c r="A10" s="13" t="inlineStr">
        <is>
          <t>Net Revenue</t>
        </is>
      </c>
      <c r="B10" s="11" t="n">
        <v>560938</v>
      </c>
      <c r="C10" s="12" t="n">
        <v>0.7461</v>
      </c>
      <c r="D10" s="33" t="n"/>
      <c r="E10" s="34" t="inlineStr">
        <is>
          <t>Bank-tied. Ties to reconciled SGM WF …8625 deposits (revenue classification, $581,396 revenue deposits excl. non-revenue inflows). Consistent with amended return basis.</t>
        </is>
      </c>
    </row>
    <row r="11" ht="8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32" customHeight="1">
      <c r="A12" s="38" t="inlineStr">
        <is>
          <t>1099-K NOTE: Splitflask 1099-K total = $686,376 (card channels only). GMV $751,891 &gt; 1099-K because wholesale ($86,776 B2B, no card processor) is not 1099-K'd. Card-channel GMV $665,115 + 1099-K gross-of-refunds premium $21,261 = 1099-K $686,376. Ties.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8" customWidth="1" min="7" max="7"/>
  </cols>
  <sheetData>
    <row r="1" ht="30" customHeight="1">
      <c r="A1" s="1" t="inlineStr">
        <is>
          <t xml:space="preserve">  3-YEAR CHANNEL TREND — Splitflask Tumbler GMV by Channel</t>
        </is>
      </c>
    </row>
    <row r="2" ht="16" customHeight="1">
      <c r="A2" s="2" t="inlineStr">
        <is>
          <t>2024 &amp; 2025 VERIFIED / LOCKED. 2026 H1 PRELIMINARY (platform-sourced, unaudited). Channel attribution: each sales account confirmed single-product (tumbler only).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8" customHeight="1">
      <c r="A4" s="5" t="inlineStr">
        <is>
          <t>Channel</t>
        </is>
      </c>
      <c r="B4" s="5" t="inlineStr">
        <is>
          <t>2024 GMV</t>
        </is>
      </c>
      <c r="C4" s="5" t="inlineStr">
        <is>
          <t>2025 GMV</t>
        </is>
      </c>
      <c r="D4" s="5" t="inlineStr">
        <is>
          <t>2026 H1</t>
        </is>
      </c>
      <c r="E4" s="5" t="inlineStr">
        <is>
          <t>2024 Mix %</t>
        </is>
      </c>
      <c r="F4" s="5" t="inlineStr">
        <is>
          <t>2025 Mix %</t>
        </is>
      </c>
      <c r="G4" s="5" t="inlineStr">
        <is>
          <t>Notes</t>
        </is>
      </c>
    </row>
    <row r="5" ht="24" customHeight="1">
      <c r="A5" s="19" t="inlineStr">
        <is>
          <t>Amazon US</t>
        </is>
      </c>
      <c r="B5" s="18" t="n">
        <v>321251</v>
      </c>
      <c r="C5" s="18" t="n">
        <v>224155</v>
      </c>
      <c r="D5" s="18" t="n">
        <v>80573</v>
      </c>
      <c r="E5" s="39" t="n">
        <v>0.4272574083211529</v>
      </c>
      <c r="F5" s="39" t="n">
        <v>0.4361102518157074</v>
      </c>
      <c r="G5" s="32" t="inlineStr">
        <is>
          <t>Net of refunds. 2025 = SPLT acct (nominee-in from SGM). 2026 = SPLT.</t>
        </is>
      </c>
    </row>
    <row r="6" ht="24" customHeight="1">
      <c r="A6" s="13" t="inlineStr">
        <is>
          <t>Shopify</t>
        </is>
      </c>
      <c r="B6" s="11" t="n">
        <v>188569</v>
      </c>
      <c r="C6" s="11" t="n">
        <v>165177</v>
      </c>
      <c r="D6" s="11" t="n">
        <v>23940</v>
      </c>
      <c r="E6" s="12" t="n">
        <v>0.2507930005812012</v>
      </c>
      <c r="F6" s="12" t="n">
        <v>0.3213641590156949</v>
      </c>
      <c r="G6" s="34" t="inlineStr">
        <is>
          <t>2024: Splitflask store (Personal TIN). 2025: SPLT TIN. 2026: net of discounts/returns.</t>
        </is>
      </c>
    </row>
    <row r="7" ht="24" customHeight="1">
      <c r="A7" s="19" t="inlineStr">
        <is>
          <t>TikTok Shop</t>
        </is>
      </c>
      <c r="B7" s="18" t="n">
        <v>155295</v>
      </c>
      <c r="C7" s="18" t="n">
        <v>24510</v>
      </c>
      <c r="D7" s="18" t="n">
        <v>1798</v>
      </c>
      <c r="E7" s="39" t="n">
        <v>0.2065392457151369</v>
      </c>
      <c r="F7" s="39" t="n">
        <v>0.04768603096965487</v>
      </c>
      <c r="G7" s="32" t="inlineStr">
        <is>
          <t>2024: peak channel. 2025: winding down. 2026: immaterial — channel effectively closed.</t>
        </is>
      </c>
    </row>
    <row r="8" ht="24" customHeight="1">
      <c r="A8" s="13" t="inlineStr">
        <is>
          <t>Wholesale / B2B</t>
        </is>
      </c>
      <c r="B8" s="11" t="n">
        <v>86776</v>
      </c>
      <c r="C8" s="11" t="n">
        <v>84125</v>
      </c>
      <c r="D8" s="40" t="inlineStr">
        <is>
          <t>open</t>
        </is>
      </c>
      <c r="E8" s="12" t="n">
        <v>0.1154103453825089</v>
      </c>
      <c r="F8" s="12" t="n">
        <v>0.1636714547255086</v>
      </c>
      <c r="G8" s="34" t="inlineStr">
        <is>
          <t>ESP, Von Maur, Knocking, SATS in 2024/2025. 2026 wholesale status open (unconfirmed).</t>
        </is>
      </c>
    </row>
    <row r="9" ht="24" customHeight="1">
      <c r="A9" s="19" t="inlineStr">
        <is>
          <t>Intl / Other</t>
        </is>
      </c>
      <c r="B9" s="18" t="n">
        <v>0</v>
      </c>
      <c r="C9" s="18" t="n">
        <v>15940</v>
      </c>
      <c r="D9" s="41" t="n">
        <v>100</v>
      </c>
      <c r="E9" s="39" t="n">
        <v>0</v>
      </c>
      <c r="F9" s="39" t="n">
        <v>0.03101245751351688</v>
      </c>
      <c r="G9" s="32" t="inlineStr">
        <is>
          <t>2025: Amazon SG/AU $2,383, intl wires $7,686, Best Buy/Walmart $1,111. 2026 H1: ~$100 actual (SG=$0; AU=$48; MX=$50) — immaterial. Global-e verified inside Shopify export.</t>
        </is>
      </c>
    </row>
    <row r="10" ht="24" customHeight="1">
      <c r="A10" s="9" t="inlineStr">
        <is>
          <t>TOTAL</t>
        </is>
      </c>
      <c r="B10" s="7" t="n">
        <v>751891</v>
      </c>
      <c r="C10" s="7" t="n">
        <v>513987</v>
      </c>
      <c r="D10" s="7" t="n">
        <v>106411</v>
      </c>
      <c r="E10" s="42" t="n">
        <v>1</v>
      </c>
      <c r="F10" s="42" t="n">
        <v>1</v>
      </c>
      <c r="G10" s="37" t="inlineStr"/>
    </row>
    <row r="11" ht="8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36" customHeight="1">
      <c r="A12" s="43" t="inlineStr">
        <is>
          <t>NARRATIVE: 2025 dip = TRANSITION YEAR (entity restructure SGM→SPLT; TikTok wind-down $155K→$25K). NOT a demand decline — Amazon and Shopify cores held. 2026 shows continuing DTC channel normalization: core annualized $184–213K vs 2025 $514K. Honest story = softening DTC; wholesale ($84K/yr) + Best Buy/Walmart + Kendra distribution are the 2026+ growth levers not in run-rate. Global-e confirmed inside Shopify (no add). SG/AU 2026 H1 negligible (~$98 total).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30" customWidth="1" min="7" max="7"/>
  </cols>
  <sheetData>
    <row r="1" ht="30" customHeight="1">
      <c r="A1" s="1" t="inlineStr">
        <is>
          <t xml:space="preserve">  2026 MOMENTUM — Monthly GMV Jan–Jun (PRELIMINARY / Platform-Sourced)</t>
        </is>
      </c>
    </row>
    <row r="2" ht="16" customHeight="1">
      <c r="A2" s="2" t="inlineStr">
        <is>
          <t>PRELIMINARY — platform dashboard data, not held to tax-grade footing. Unaudited. Core channels only (Amazon US + Shopify net + TikTok). Wholesale + Intl open.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8" customHeight="1">
      <c r="A4" s="5" t="inlineStr">
        <is>
          <t>Month</t>
        </is>
      </c>
      <c r="B4" s="5" t="inlineStr">
        <is>
          <t>Amazon US</t>
        </is>
      </c>
      <c r="C4" s="5" t="inlineStr">
        <is>
          <t>Shopify Net</t>
        </is>
      </c>
      <c r="D4" s="5" t="inlineStr">
        <is>
          <t>TikTok</t>
        </is>
      </c>
      <c r="E4" s="5" t="inlineStr">
        <is>
          <t>Monthly Total</t>
        </is>
      </c>
      <c r="F4" s="5" t="inlineStr">
        <is>
          <t>vs Prior Mo.</t>
        </is>
      </c>
      <c r="G4" s="5" t="inlineStr">
        <is>
          <t>Note</t>
        </is>
      </c>
    </row>
    <row r="5" ht="18" customHeight="1">
      <c r="A5" s="16" t="inlineStr">
        <is>
          <t>Jan 2026</t>
        </is>
      </c>
      <c r="B5" s="15" t="n">
        <v>19514</v>
      </c>
      <c r="C5" s="15" t="n">
        <v>12950</v>
      </c>
      <c r="D5" s="15" t="n">
        <v>200</v>
      </c>
      <c r="E5" s="44" t="n">
        <v>32664</v>
      </c>
      <c r="F5" s="14" t="n"/>
      <c r="G5" s="45" t="inlineStr">
        <is>
          <t>Post-Shark Tank airing halo — spike expected</t>
        </is>
      </c>
    </row>
    <row r="6" ht="18" customHeight="1">
      <c r="A6" s="13" t="inlineStr">
        <is>
          <t>Feb 2026</t>
        </is>
      </c>
      <c r="B6" s="11" t="n">
        <v>11604</v>
      </c>
      <c r="C6" s="11" t="n">
        <v>2824</v>
      </c>
      <c r="D6" s="11" t="n">
        <v>200</v>
      </c>
      <c r="E6" s="46" t="n">
        <v>14628</v>
      </c>
      <c r="F6" s="12" t="n">
        <v>-0.5521675238795004</v>
      </c>
      <c r="G6" s="34" t="inlineStr">
        <is>
          <t>Halo fades; underlying run-rate establishes</t>
        </is>
      </c>
    </row>
    <row r="7" ht="18" customHeight="1">
      <c r="A7" s="19" t="inlineStr">
        <is>
          <t>Mar 2026</t>
        </is>
      </c>
      <c r="B7" s="18" t="n">
        <v>11182</v>
      </c>
      <c r="C7" s="18" t="n">
        <v>2296</v>
      </c>
      <c r="D7" s="18" t="n">
        <v>200</v>
      </c>
      <c r="E7" s="47" t="n">
        <v>13678</v>
      </c>
      <c r="F7" s="39" t="n">
        <v>-0.06494394312277824</v>
      </c>
      <c r="G7" s="32" t="inlineStr"/>
    </row>
    <row r="8" ht="18" customHeight="1">
      <c r="A8" s="13" t="inlineStr">
        <is>
          <t>Apr 2026</t>
        </is>
      </c>
      <c r="B8" s="11" t="n">
        <v>10709</v>
      </c>
      <c r="C8" s="11" t="n">
        <v>3023</v>
      </c>
      <c r="D8" s="11" t="n">
        <v>400</v>
      </c>
      <c r="E8" s="46" t="n">
        <v>14132</v>
      </c>
      <c r="F8" s="12" t="n">
        <v>0.03319198713262173</v>
      </c>
      <c r="G8" s="34" t="inlineStr"/>
    </row>
    <row r="9" ht="18" customHeight="1">
      <c r="A9" s="19" t="inlineStr">
        <is>
          <t>May 2026</t>
        </is>
      </c>
      <c r="B9" s="18" t="n">
        <v>11719</v>
      </c>
      <c r="C9" s="18" t="n">
        <v>1352</v>
      </c>
      <c r="D9" s="18" t="n">
        <v>400</v>
      </c>
      <c r="E9" s="47" t="n">
        <v>13471</v>
      </c>
      <c r="F9" s="39" t="n">
        <v>-0.0467732804981602</v>
      </c>
      <c r="G9" s="32" t="inlineStr">
        <is>
          <t>✓ Global-E inside Shopify export (confirmed B2). Not additive.</t>
        </is>
      </c>
    </row>
    <row r="10" ht="18" customHeight="1">
      <c r="A10" s="13" t="inlineStr">
        <is>
          <t>Jun 2026</t>
        </is>
      </c>
      <c r="B10" s="11" t="n">
        <v>16429</v>
      </c>
      <c r="C10" s="11" t="n">
        <v>1495</v>
      </c>
      <c r="D10" s="11" t="n">
        <v>400</v>
      </c>
      <c r="E10" s="46" t="n">
        <v>18324</v>
      </c>
      <c r="F10" s="12" t="n">
        <v>0.360255363373172</v>
      </c>
      <c r="G10" s="34" t="inlineStr">
        <is>
          <t>Amazon Jun strong (highest non-Jan); seasonal?</t>
        </is>
      </c>
    </row>
    <row r="11" ht="20" customHeight="1">
      <c r="A11" s="9" t="inlineStr">
        <is>
          <t>H1 TOTAL (Core Confirmed)</t>
        </is>
      </c>
      <c r="B11" s="7" t="n">
        <v>81157</v>
      </c>
      <c r="C11" s="7" t="n">
        <v>23940</v>
      </c>
      <c r="D11" s="7" t="n">
        <v>1800</v>
      </c>
      <c r="E11" s="7" t="n">
        <v>106897</v>
      </c>
      <c r="F11" s="6" t="n"/>
      <c r="G11" s="9" t="inlineStr">
        <is>
          <t>Amazon US + Shopify net + TikTok. ✓ Global-E in Shopify. SG/AU ~$100 (immaterial). Wholesale open.</t>
        </is>
      </c>
    </row>
    <row r="12" ht="8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20" customHeight="1">
      <c r="A13" s="4" t="inlineStr">
        <is>
          <t>RUN-RATE ANALYSIS (LABELED PROJECTIONS — preliminary, conservative)</t>
        </is>
      </c>
    </row>
    <row r="14" ht="20" customHeight="1">
      <c r="A14" s="19" t="inlineStr">
        <is>
          <t>Simple H1 × 2 Annualized</t>
        </is>
      </c>
      <c r="B14" s="18" t="n">
        <v>212600</v>
      </c>
      <c r="C14" s="32" t="inlineStr">
        <is>
          <t>Straight-line; distorted upward by Jan Shark Tank spike. Use as CEILING, not run-rate.</t>
        </is>
      </c>
      <c r="D14" s="21" t="n"/>
      <c r="E14" s="21" t="n"/>
      <c r="F14" s="21" t="n"/>
      <c r="G14" s="22" t="n"/>
    </row>
    <row r="15" ht="20" customHeight="1">
      <c r="A15" s="13" t="inlineStr">
        <is>
          <t>Last-3-Month Avg (Apr–Jun)</t>
        </is>
      </c>
      <c r="B15" s="11" t="n">
        <v>15309</v>
      </c>
      <c r="C15" s="34" t="inlineStr">
        <is>
          <t>Monthly avg post-halo. More representative baseline.</t>
        </is>
      </c>
      <c r="D15" s="21" t="n"/>
      <c r="E15" s="21" t="n"/>
      <c r="F15" s="21" t="n"/>
      <c r="G15" s="22" t="n"/>
    </row>
    <row r="16" ht="20" customHeight="1">
      <c r="A16" s="9" t="inlineStr">
        <is>
          <t>Last-3-Month Annualized</t>
        </is>
      </c>
      <c r="B16" s="7" t="n">
        <v>183700</v>
      </c>
      <c r="C16" s="37" t="inlineStr">
        <is>
          <t>Conservative honest current run-rate (core channels, no wholesale/intl/Global-E). Jun uptick may signal acceleration.</t>
        </is>
      </c>
      <c r="D16" s="21" t="n"/>
      <c r="E16" s="21" t="n"/>
      <c r="F16" s="21" t="n"/>
      <c r="G16" s="22" t="n"/>
    </row>
    <row r="17" ht="20" customHeight="1">
      <c r="A17" s="13" t="inlineStr">
        <is>
          <t>+ Wholesale (est. if active)</t>
        </is>
      </c>
      <c r="B17" s="11" t="n">
        <v>84000</v>
      </c>
      <c r="C17" s="34" t="inlineStr">
        <is>
          <t>2025 wholesale ~$84K; 2026 status OPEN. Add if confirmed — would lift run-rate $255–280K+.</t>
        </is>
      </c>
      <c r="D17" s="21" t="n"/>
      <c r="E17" s="21" t="n"/>
      <c r="F17" s="21" t="n"/>
      <c r="G17" s="22" t="n"/>
    </row>
    <row r="18" ht="8" customHeight="1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36" customHeight="1">
      <c r="A19" s="30" t="inlineStr">
        <is>
          <t>CONTEXT: Shark Tank episode aired Jan 2026 → spike in Jan. The deal with Kendra Scott IS the growth catalyst — do not annualize Shark Tank halo months as a sustainable run-rate. H1 ACTUAL is the unimpeachable figure. Projection = under-claimed; actuals speak for themselves.</t>
        </is>
      </c>
    </row>
  </sheetData>
  <mergeCells count="12">
    <mergeCell ref="A13:G13"/>
    <mergeCell ref="A19:G19"/>
    <mergeCell ref="A1:G1"/>
    <mergeCell ref="A17"/>
    <mergeCell ref="C16:G16"/>
    <mergeCell ref="A15"/>
    <mergeCell ref="C15:G15"/>
    <mergeCell ref="A16"/>
    <mergeCell ref="A2:G2"/>
    <mergeCell ref="C14:G14"/>
    <mergeCell ref="A14"/>
    <mergeCell ref="C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  <col width="30" customWidth="1" min="5" max="5"/>
  </cols>
  <sheetData>
    <row r="1" ht="30" customHeight="1">
      <c r="A1" s="1" t="inlineStr">
        <is>
          <t xml:space="preserve">  CHANNEL &amp; DEMAND DETAIL — 2024 (Verified) and 2025 (Verified)</t>
        </is>
      </c>
    </row>
    <row r="2" ht="16" customHeight="1">
      <c r="A2" s="2" t="inlineStr">
        <is>
          <t>Per-channel GMV with source cross-check. 1099-K floors independently verified to the penny.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4" t="inlineStr">
        <is>
          <t>2024 — CHANNEL GMV DETAIL (LOCKED)</t>
        </is>
      </c>
    </row>
    <row r="5" ht="18" customHeight="1">
      <c r="A5" s="5" t="inlineStr">
        <is>
          <t>Channel</t>
        </is>
      </c>
      <c r="B5" s="5" t="inlineStr">
        <is>
          <t>2024 GMV</t>
        </is>
      </c>
      <c r="C5" s="5" t="inlineStr">
        <is>
          <t>1099-K Verified</t>
        </is>
      </c>
      <c r="D5" s="5" t="inlineStr">
        <is>
          <t>Fee Rate</t>
        </is>
      </c>
      <c r="E5" s="5" t="inlineStr">
        <is>
          <t>Source / Notes</t>
        </is>
      </c>
    </row>
    <row r="6" ht="28" customHeight="1">
      <c r="A6" s="19" t="inlineStr">
        <is>
          <t>Amazon US</t>
        </is>
      </c>
      <c r="B6" s="18" t="n">
        <v>321251</v>
      </c>
      <c r="C6" s="18" t="n">
        <v>344036</v>
      </c>
      <c r="D6" s="39" t="n">
        <v>0.151</v>
      </c>
      <c r="E6" s="48" t="inlineStr">
        <is>
          <t>1099-K $344,036 (gross-of-refunds). Net-of-returns GMV $321,251. Fees: referral $32,863 + FBA $19,144 = $52,007 (15.1%) — stated from settlement.</t>
        </is>
      </c>
    </row>
    <row r="7" ht="28" customHeight="1">
      <c r="A7" s="13" t="inlineStr">
        <is>
          <t>Shopify (Splitflask store)</t>
        </is>
      </c>
      <c r="B7" s="11" t="n">
        <v>188569</v>
      </c>
      <c r="C7" s="11" t="n">
        <v>164614</v>
      </c>
      <c r="D7" s="12" t="n">
        <v>0.029</v>
      </c>
      <c r="E7" s="49" t="inlineStr">
        <is>
          <t>1099-K $164,614 (Personal TIN …7639). Charged $188,569; settled $181,912. Shopify Payments fee ~2.9% ($5,276). Capital repayment excluded (non-deductible principal).</t>
        </is>
      </c>
    </row>
    <row r="8" ht="28" customHeight="1">
      <c r="A8" s="19" t="inlineStr">
        <is>
          <t>TikTok Shop</t>
        </is>
      </c>
      <c r="B8" s="18" t="n">
        <v>155295</v>
      </c>
      <c r="C8" s="18" t="n">
        <v>155295</v>
      </c>
      <c r="D8" s="39" t="n">
        <v>0.331</v>
      </c>
      <c r="E8" s="48" t="inlineStr">
        <is>
          <t>1099-K $155,295 verified penny-perfect across nine monthly CSVs. Deductible seller fees 33.1% = platform fees $22,343 + net shipping $27,964 + ad top-up $1,045.</t>
        </is>
      </c>
    </row>
    <row r="9" ht="28" customHeight="1">
      <c r="A9" s="13" t="inlineStr">
        <is>
          <t>Wholesale / B2B</t>
        </is>
      </c>
      <c r="B9" s="11" t="n">
        <v>86776</v>
      </c>
      <c r="C9" s="10" t="n"/>
      <c r="D9" s="10" t="n"/>
      <c r="E9" s="49" t="inlineStr">
        <is>
          <t>No card processor → no 1099-K. ESP ~$57.6K · Von Maur ~$7.2K · Knocking ~$11.3K · SATS ~$10.7K. Invoice-backed; bank deposits confirmed.</t>
        </is>
      </c>
    </row>
    <row r="10" ht="28" customHeight="1">
      <c r="A10" s="9" t="inlineStr">
        <is>
          <t>TOTAL 2024</t>
        </is>
      </c>
      <c r="B10" s="7" t="n">
        <v>751891</v>
      </c>
      <c r="C10" s="7" t="n">
        <v>686376</v>
      </c>
      <c r="D10" s="6" t="n"/>
      <c r="E10" s="50" t="inlineStr">
        <is>
          <t>1099-K total $686,376 (card channels). GMV $751,891 &gt; 1099-K by $65,515 = wholesale no-card. ✓</t>
        </is>
      </c>
    </row>
    <row r="11" ht="8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20" customHeight="1">
      <c r="A12" s="4" t="inlineStr">
        <is>
          <t>2025 — CHANNEL GMV DETAIL (VERIFIED)</t>
        </is>
      </c>
    </row>
    <row r="13" ht="18" customHeight="1">
      <c r="A13" s="5" t="inlineStr">
        <is>
          <t>Channel</t>
        </is>
      </c>
      <c r="B13" s="5" t="inlineStr">
        <is>
          <t>2025 GMV</t>
        </is>
      </c>
      <c r="C13" s="5" t="inlineStr">
        <is>
          <t>1099-K Verified</t>
        </is>
      </c>
      <c r="D13" s="5" t="inlineStr">
        <is>
          <t>Entity</t>
        </is>
      </c>
      <c r="E13" s="5" t="inlineStr">
        <is>
          <t>Source / Notes</t>
        </is>
      </c>
    </row>
    <row r="14" ht="28" customHeight="1">
      <c r="A14" s="19" t="inlineStr">
        <is>
          <t>Amazon US (SPLT)</t>
        </is>
      </c>
      <c r="B14" s="18" t="n">
        <v>224789</v>
      </c>
      <c r="C14" s="18" t="n">
        <v>240010</v>
      </c>
      <c r="D14" s="51" t="inlineStr">
        <is>
          <t>SPLT</t>
        </is>
      </c>
      <c r="E14" s="48" t="inlineStr">
        <is>
          <t>Nominee income: Amazon 1099-K on SGM TIN; economically SPLT (account moved Feb 4, 2025). SGM nominees $224,789.09 to SPLT. Cross-verified: bank deposits confirm Feb-4 cutoff.</t>
        </is>
      </c>
    </row>
    <row r="15" ht="28" customHeight="1">
      <c r="A15" s="13" t="inlineStr">
        <is>
          <t>Shopify (Splitflask store)</t>
        </is>
      </c>
      <c r="B15" s="11" t="n">
        <v>165177</v>
      </c>
      <c r="C15" s="11" t="n">
        <v>109064</v>
      </c>
      <c r="D15" s="52" t="inlineStr">
        <is>
          <t>SPLT</t>
        </is>
      </c>
      <c r="E15" s="49" t="inlineStr">
        <is>
          <t>1099-K $109,064 (SPLT TIN …4308 — TIN switch from Personal in 2024). GMV basis: net sales from Shopify export.</t>
        </is>
      </c>
    </row>
    <row r="16" ht="28" customHeight="1">
      <c r="A16" s="19" t="inlineStr">
        <is>
          <t>TikTok Shop</t>
        </is>
      </c>
      <c r="B16" s="18" t="n">
        <v>24510</v>
      </c>
      <c r="C16" s="17" t="n"/>
      <c r="D16" s="51" t="inlineStr">
        <is>
          <t>SPLT</t>
        </is>
      </c>
      <c r="E16" s="48" t="inlineStr">
        <is>
          <t>Wound down 2025. No 1099-K issued (below threshold after wind-down). Gross $24,510 from TikTok financial summaries (Q1+Q2 2025).</t>
        </is>
      </c>
    </row>
    <row r="17" ht="28" customHeight="1">
      <c r="A17" s="13" t="inlineStr">
        <is>
          <t>Wholesale / B2B (SGM)</t>
        </is>
      </c>
      <c r="B17" s="11" t="n">
        <v>84125</v>
      </c>
      <c r="C17" s="10" t="n"/>
      <c r="D17" s="52" t="inlineStr">
        <is>
          <t>SGM</t>
        </is>
      </c>
      <c r="E17" s="49" t="inlineStr">
        <is>
          <t>SGM wind-down entity retained wholesale accounts. B2B invoicing; bank-classified. Estimate.</t>
        </is>
      </c>
    </row>
    <row r="18" ht="28" customHeight="1">
      <c r="A18" s="19" t="inlineStr">
        <is>
          <t>Amazon SGM (pre-switch)</t>
        </is>
      </c>
      <c r="B18" s="18" t="n">
        <v>15221</v>
      </c>
      <c r="C18" s="17" t="n"/>
      <c r="D18" s="51" t="inlineStr">
        <is>
          <t>SGM</t>
        </is>
      </c>
      <c r="E18" s="48" t="inlineStr">
        <is>
          <t>SGM-earned Amazon orders Jan 1–Feb 4 before account switch. Order-date sourced.</t>
        </is>
      </c>
    </row>
    <row r="19" ht="28" customHeight="1">
      <c r="A19" s="13" t="inlineStr">
        <is>
          <t>Intl + Other</t>
        </is>
      </c>
      <c r="B19" s="11" t="n">
        <v>10269</v>
      </c>
      <c r="C19" s="10" t="n"/>
      <c r="D19" s="52" t="inlineStr">
        <is>
          <t>SPLT</t>
        </is>
      </c>
      <c r="E19" s="49" t="inlineStr">
        <is>
          <t>Amazon SG/AU $2,383 · intl wires $7,686 · Best Buy/Walmart (Mirakl) $1,111 — live Dec 2025.</t>
        </is>
      </c>
    </row>
    <row r="20" ht="28" customHeight="1">
      <c r="A20" s="9" t="inlineStr">
        <is>
          <t>TOTAL 2025</t>
        </is>
      </c>
      <c r="B20" s="7" t="n">
        <v>513987</v>
      </c>
      <c r="C20" s="6" t="n"/>
      <c r="D20" s="53" t="n"/>
      <c r="E20" s="50" t="inlineStr">
        <is>
          <t>Splitflask tumbler only. Cyberbackpack excluded (separate product, separate entity). Kickstarter $54,386 = deferred revenue (not yet fulfilled Dec 31) — NOT in GMV.</t>
        </is>
      </c>
    </row>
    <row r="21" ht="8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20" customHeight="1">
      <c r="A22" s="4" t="inlineStr">
        <is>
          <t>2024 LIST-PRICE DEMAND BRIDGE (the big top-line number)</t>
        </is>
      </c>
    </row>
    <row r="23" ht="20" customHeight="1">
      <c r="A23" s="19" t="inlineStr">
        <is>
          <t>List-price demand (consumer demand at full price)</t>
        </is>
      </c>
      <c r="B23" s="18" t="n">
        <v>1032079</v>
      </c>
      <c r="C23" s="32" t="inlineStr">
        <is>
          <t>What customers would have paid at list. Larger, legitimate metric.</t>
        </is>
      </c>
      <c r="D23" s="21" t="n"/>
      <c r="E23" s="22" t="n"/>
    </row>
    <row r="24" ht="20" customHeight="1">
      <c r="A24" s="13" t="inlineStr">
        <is>
          <t>Less: Promotional discounts</t>
        </is>
      </c>
      <c r="B24" s="11" t="n">
        <v>-280188</v>
      </c>
      <c r="C24" s="34" t="inlineStr">
        <is>
          <t>Promo codes, discount programs. This is a STRENGTH — shows promotional discipline, not weakness.</t>
        </is>
      </c>
      <c r="D24" s="21" t="n"/>
      <c r="E24" s="22" t="n"/>
    </row>
    <row r="25" ht="20" customHeight="1">
      <c r="A25" s="9">
        <f> GMV (consumer-paid)</f>
        <v/>
      </c>
      <c r="B25" s="7" t="n">
        <v>751891</v>
      </c>
      <c r="C25" s="37" t="inlineStr">
        <is>
          <t>LOCKED. What customers actually paid after promos.</t>
        </is>
      </c>
      <c r="D25" s="21" t="n"/>
      <c r="E25" s="22" t="n"/>
    </row>
  </sheetData>
  <mergeCells count="8">
    <mergeCell ref="A12:E12"/>
    <mergeCell ref="A4:E4"/>
    <mergeCell ref="A2:E2"/>
    <mergeCell ref="C23:E23"/>
    <mergeCell ref="A1:E1"/>
    <mergeCell ref="A22:E22"/>
    <mergeCell ref="C25:E25"/>
    <mergeCell ref="C24:E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</cols>
  <sheetData>
    <row r="1" ht="28" customHeight="1">
      <c r="A1" s="1" t="inlineStr">
        <is>
          <t xml:space="preserve">  NOTES &amp; SOURCES — Denominator Definition and Verification</t>
        </is>
      </c>
    </row>
    <row r="2" ht="8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54" t="inlineStr">
        <is>
          <t>DENOMINATOR DEFINITION</t>
        </is>
      </c>
    </row>
    <row r="4" ht="48" customHeight="1">
      <c r="A4" s="55" t="inlineStr">
        <is>
          <t>Splitflask GMV — DEAL universe</t>
        </is>
      </c>
      <c r="B4" s="56" t="inlineStr">
        <is>
          <t>Splitflask dual-chamber tumbler ONLY. Includes: Amazon US/MX/CA, Shopify Splitflask store, TikTok Shop Splitflask, Wholesale/B2B invoicing, Amazon SG/AU, international distributor wires. EXCLUDES: Cyberbackpack product, Cyberbrands store/entity, consulting income, loans, transfers, and any non-tumbler line.</t>
        </is>
      </c>
      <c r="C4" s="22" t="n"/>
    </row>
    <row r="5" ht="48" customHeight="1">
      <c r="A5" s="57" t="inlineStr">
        <is>
          <t>What is NOT in this workbook</t>
        </is>
      </c>
      <c r="B5" s="58" t="inlineStr">
        <is>
          <t>No entity taxable income, no P&amp;L losses, no deductions, no tax amendments, no Cyberbackpack, no Cyberbrands content. Those are in separate tax-compliance deliverables for the CPA. This file = brand commercial performance only.</t>
        </is>
      </c>
      <c r="C5" s="22" t="n"/>
    </row>
    <row r="6" ht="48" customHeight="1">
      <c r="A6" s="55" t="inlineStr">
        <is>
          <t>Two-Denominator Wall</t>
        </is>
      </c>
      <c r="B6" s="56" t="inlineStr">
        <is>
          <t>This project maintains two separate denominators: (1) Splitflask GMV for Kendra / deal audience — this file. (2) Total gross receipts for IRS/amendment audience — separate. Cyberbackpack is the dividing line. It was a separate product on a separate platform account under a separate entity; it is fully excluded from every figure here.</t>
        </is>
      </c>
      <c r="C6" s="22" t="n"/>
    </row>
    <row r="8" ht="20" customHeight="1">
      <c r="A8" s="54" t="inlineStr">
        <is>
          <t>VERIFICATION STATUS</t>
        </is>
      </c>
    </row>
    <row r="9" ht="48" customHeight="1">
      <c r="A9" s="55" t="inlineStr">
        <is>
          <t>2024 GMV $751,891 — LOCKED</t>
        </is>
      </c>
      <c r="B9" s="56" t="inlineStr">
        <is>
          <t>Bank-verified (deposits $895,754.12 penny-exact, 2,022 transactions classified + footed). 1099-K floors independently verified to the penny across all nine 2024 forms. Channel splits from platform settlement reports and sales dashboards. Wholesale from B2B invoices and bank wire matching.</t>
        </is>
      </c>
      <c r="C9" s="22" t="n"/>
    </row>
    <row r="10" ht="48" customHeight="1">
      <c r="A10" s="57" t="inlineStr">
        <is>
          <t>2025 GMV $513,987 — VERIFIED</t>
        </is>
      </c>
      <c r="B10" s="58" t="inlineStr">
        <is>
          <t>Amazon: order-date dashboard (Feb 4 cutoff verified). Shopify: export. TikTok: financial summary PDFs Q1+Q2. Wholesale: SGM bank classification. Intl: bank wires + dashboard. Nominee income treatment per IRS guidance (SGM→SPLT). SPLT 2025 bank statements: all months footed per-statement.</t>
        </is>
      </c>
      <c r="C10" s="22" t="n"/>
    </row>
    <row r="11" ht="48" customHeight="1">
      <c r="A11" s="55" t="inlineStr">
        <is>
          <t>2026 H1 ~$106K — PRELIMINARY (OPEN ITEMS CLOSED B2): Platform-sourced (Amazon Sales Dashboard, Shopify export, TikTok PDFs). NOT held to tax-grade footing. Unaudited. CLOSED: (1) Global-E international — CONFIRMED INSIDE Shopify export; bank math consistent (payout split domestic/intl confirms orders already in dashboard). (2) Amazon SG 2026 = $0 sales. Amazon AU 2026 = A$74.44 ($48 USD, one sale Jan 1). Amazon MX 2026 = MX$907 (~$50 USD). Total intl add = ~$100 — negligible. (3) Atlantic Access = NO CHANGE per owner. REMAINING OPEN: Wholesale 2026 status unconfirmed ($84K channel in 2025).</t>
        </is>
      </c>
      <c r="B11" s="56" t="inlineStr">
        <is>
          <t>Platform-sourced (Amazon Sales Dashboard, Shopify export, TikTok PDFs). NOT held to tax-grade footing/reconciliation standard. Unaudited. Open items: (1) Global-E international Shopify — may add $20–40K if outside Shopify export. (2) Wholesale 2026 status unknown — $84K channel in 2025; unconfirmed in H1 2026. (3) Amazon MX/CA — bank estimate only (~$3K). These are additive if confirmed.</t>
        </is>
      </c>
      <c r="C11" s="22" t="n"/>
    </row>
    <row r="12" ht="48" customHeight="1">
      <c r="A12" s="57" t="inlineStr">
        <is>
          <t>1099-K Verification</t>
        </is>
      </c>
      <c r="B12" s="58" t="inlineStr">
        <is>
          <t>Nine 2024 1099-K forms verified to the penny. Splitflask total: $686,376.39. Cyberbackpack total: $104,678.41. Sum $791,054.80. Every form matched; zero variance. Product attribution confirmed by account-level mapping (each account = single product).</t>
        </is>
      </c>
      <c r="C12" s="22" t="n"/>
    </row>
    <row r="14" ht="20" customHeight="1">
      <c r="A14" s="54" t="inlineStr">
        <is>
          <t>KEY FIGURES — CROSS-REFERENCE</t>
        </is>
      </c>
    </row>
    <row r="15" ht="48" customHeight="1">
      <c r="A15" s="55" t="inlineStr">
        <is>
          <t>2024 on-air claim ~$895,000</t>
        </is>
      </c>
      <c r="B15" s="56" t="inlineStr">
        <is>
          <t>Attaches to DEPOSITS tier ($895,754.12 bank-verified). NOT GMV. Deposits &gt; GMV because deposits include loans, intercompany, refund reversals.</t>
        </is>
      </c>
      <c r="C15" s="22" t="n"/>
    </row>
    <row r="16" ht="48" customHeight="1">
      <c r="A16" s="57" t="inlineStr">
        <is>
          <t>2025 on-air claim ~$499,000</t>
        </is>
      </c>
      <c r="B16" s="58" t="inlineStr">
        <is>
          <t>Attaches to GMV tier ($513,987 ≈ $499K, within 2.9%). On-air was conservative vs actual GMV.</t>
        </is>
      </c>
      <c r="C16" s="22" t="n"/>
    </row>
    <row r="17" ht="48" customHeight="1">
      <c r="A17" s="55" t="inlineStr">
        <is>
          <t>US Patent 12,577,032 B2</t>
        </is>
      </c>
      <c r="B17" s="56" t="inlineStr">
        <is>
          <t>Dual-chamber tumbler design. Issued, held by brand. Valuation range ($100K conservative to ~$2M potential) — open item for diligence.</t>
        </is>
      </c>
      <c r="C17" s="22" t="n"/>
    </row>
    <row r="19" ht="20" customHeight="1">
      <c r="A19" s="54" t="inlineStr">
        <is>
          <t>SOURCE DOCUMENTS</t>
        </is>
      </c>
    </row>
    <row r="20" ht="48" customHeight="1">
      <c r="A20" s="55" t="inlineStr">
        <is>
          <t>Amazon Sales Dashboard + Unified Transaction CSV</t>
        </is>
      </c>
      <c r="B20" s="56" t="inlineStr">
        <is>
          <t>Per-year product sales; order-date basis; SKU-level (all tumbler variants confirmed).</t>
        </is>
      </c>
      <c r="C20" s="22" t="n"/>
    </row>
    <row r="21" ht="48" customHeight="1">
      <c r="A21" s="57" t="inlineStr">
        <is>
          <t>Shopify Total Sales Breakdown Export</t>
        </is>
      </c>
      <c r="B21" s="58" t="inlineStr">
        <is>
          <t>Per-month gross/net sales; returns; discounts. Split by store (Splitflask vs Cyberbrands).</t>
        </is>
      </c>
      <c r="C21" s="22" t="n"/>
    </row>
    <row r="22" ht="48" customHeight="1">
      <c r="A22" s="55" t="inlineStr">
        <is>
          <t>TikTok Seller Center Financial Summary PDFs</t>
        </is>
      </c>
      <c r="B22" s="56" t="inlineStr">
        <is>
          <t>Quarterly gross/net/payout. Nine monthly 1099-K CSVs summed to $155,294.96 exactly (2024).</t>
        </is>
      </c>
      <c r="C22" s="22" t="n"/>
    </row>
    <row r="23" ht="48" customHeight="1">
      <c r="A23" s="57" t="inlineStr">
        <is>
          <t>Wells Fargo Bank Statements</t>
        </is>
      </c>
      <c r="B23" s="58" t="inlineStr">
        <is>
          <t>SGM …8625, SPLT …0423, Cyberbrands …5090, Personal …7282 (excluded). 85 PDF files → 65 canonical (20 true duplicates removed). All statements footed per-statement.</t>
        </is>
      </c>
      <c r="C23" s="22" t="n"/>
    </row>
    <row r="24" ht="48" customHeight="1">
      <c r="A24" s="55" t="inlineStr">
        <is>
          <t>1099-K Tax Forms</t>
        </is>
      </c>
      <c r="B24" s="56" t="inlineStr">
        <is>
          <t>Nine forms, two tax years. Original + corrected (corrected supersedes). All verified to source.</t>
        </is>
      </c>
      <c r="C24" s="22" t="n"/>
    </row>
    <row r="25" ht="48" customHeight="1">
      <c r="A25" s="57" t="inlineStr">
        <is>
          <t>Facebook Ads Invoice (2024 + 2025)</t>
        </is>
      </c>
      <c r="B25" s="58" t="inlineStr">
        <is>
          <t>Card-level attribution of ad spend. 2024: $13,018 total. 2025: $97,769 total. Card→entity mapping for per-entity attribution (not in this deal file — for tax use only).</t>
        </is>
      </c>
      <c r="C25" s="22" t="n"/>
    </row>
    <row r="27" ht="36" customHeight="1">
      <c r="A27" s="30" t="inlineStr">
        <is>
          <t>CONFIDENTIAL — Prepared for Kendra Scott / investor due diligence. For information purposes only. Figures represent management's best reconstruction from source documents. 2026 data preliminary and unaudited. This document does not constitute audited financial statements.</t>
        </is>
      </c>
    </row>
  </sheetData>
  <mergeCells count="22">
    <mergeCell ref="B16:C16"/>
    <mergeCell ref="B25:C25"/>
    <mergeCell ref="B22:C22"/>
    <mergeCell ref="A27:C27"/>
    <mergeCell ref="A3:C3"/>
    <mergeCell ref="B12:C12"/>
    <mergeCell ref="B21:C21"/>
    <mergeCell ref="B11:C11"/>
    <mergeCell ref="A8:C8"/>
    <mergeCell ref="A14:C14"/>
    <mergeCell ref="B23:C23"/>
    <mergeCell ref="B17:C17"/>
    <mergeCell ref="A19:C19"/>
    <mergeCell ref="B10:C10"/>
    <mergeCell ref="B9:C9"/>
    <mergeCell ref="B6:C6"/>
    <mergeCell ref="B24:C24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2026-07-11T11:42:36Z</dcterms:created>
  <dcterms:modified xsi:type="dcterms:W3CDTF">2026-07-11T20:27:35Z</dcterms:modified>
</cp:coreProperties>
</file>