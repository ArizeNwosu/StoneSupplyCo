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1099K_Recon" sheetId="2" state="visible" r:id="rId2"/>
    <sheet name="3_Revenue" sheetId="3" state="visible" r:id="rId3"/>
    <sheet name="4_COGS_Inventory" sheetId="4" state="visible" r:id="rId4"/>
    <sheet name="5_Deductions" sheetId="5" state="visible" r:id="rId5"/>
    <sheet name="6_Nominee_Interco" sheetId="6" state="visible" r:id="rId6"/>
    <sheet name="7_Source_Index"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3"/>
    </font>
    <font>
      <name val="Calibri"/>
      <i val="1"/>
      <color rgb="00555555"/>
      <sz val="10"/>
    </font>
    <font>
      <name val="Calibri"/>
      <b val="1"/>
      <color rgb="00FFFFFF"/>
      <sz val="10"/>
    </font>
    <font>
      <name val="Calibri"/>
      <color rgb="00000000"/>
      <sz val="10"/>
    </font>
    <font>
      <name val="Calibri"/>
      <color rgb="00000000"/>
      <sz val="9"/>
    </font>
    <font>
      <name val="Calibri"/>
      <color rgb="00FFFFFF"/>
      <sz val="9"/>
    </font>
    <font>
      <name val="Calibri"/>
      <b val="1"/>
      <color rgb="00FFFFFF"/>
      <sz val="11"/>
    </font>
    <font>
      <name val="Calibri"/>
      <b val="1"/>
      <color rgb="00000000"/>
      <sz val="9"/>
    </font>
    <font>
      <name val="Calibri"/>
      <b val="1"/>
      <color rgb="00000000"/>
      <sz val="10"/>
    </font>
    <font>
      <name val="Calibri"/>
      <b val="1"/>
      <color rgb="00FFFFFF"/>
      <sz val="9"/>
    </font>
    <font>
      <name val="Calibri"/>
      <i val="1"/>
      <color rgb="00000000"/>
      <sz val="9"/>
    </font>
    <font>
      <b val="1"/>
      <color rgb="00FF0000"/>
    </font>
    <font>
      <i val="1"/>
    </font>
    <font>
      <b val="1"/>
    </font>
  </fonts>
  <fills count="10">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2E4A7A"/>
      </patternFill>
    </fill>
    <fill>
      <patternFill patternType="solid">
        <fgColor rgb="00C9A84C"/>
      </patternFill>
    </fill>
    <fill>
      <patternFill patternType="solid">
        <fgColor rgb="00C00000"/>
      </patternFill>
    </fill>
    <fill>
      <patternFill patternType="solid">
        <fgColor rgb="00E2EFDA"/>
      </patternFill>
    </fill>
    <fill>
      <patternFill patternType="solid">
        <fgColor rgb="00DCE6F1"/>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4" fontId="4" fillId="3" borderId="1" applyAlignment="1" pivotButton="0" quotePrefix="0" xfId="0">
      <alignment horizontal="right"/>
    </xf>
    <xf numFmtId="0" fontId="5" fillId="3"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right"/>
    </xf>
    <xf numFmtId="4" fontId="4" fillId="0" borderId="1" applyAlignment="1" pivotButton="0" quotePrefix="0" xfId="0">
      <alignment horizontal="right"/>
    </xf>
    <xf numFmtId="0" fontId="5" fillId="0"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applyAlignment="1" pivotButton="0" quotePrefix="0" xfId="0">
      <alignment horizontal="right"/>
    </xf>
    <xf numFmtId="4" fontId="4" fillId="4" borderId="1" applyAlignment="1" pivotButton="0" quotePrefix="0" xfId="0">
      <alignment horizontal="right"/>
    </xf>
    <xf numFmtId="0" fontId="5" fillId="4" borderId="1" applyAlignment="1" pivotButton="0" quotePrefix="0" xfId="0">
      <alignment horizontal="left" vertical="top" wrapText="1"/>
    </xf>
    <xf numFmtId="0" fontId="4" fillId="3" borderId="1" applyAlignment="1" pivotButton="0" quotePrefix="0" xfId="0">
      <alignment horizontal="right"/>
    </xf>
    <xf numFmtId="0" fontId="3" fillId="5" borderId="1" applyAlignment="1" pivotButton="0" quotePrefix="0" xfId="0">
      <alignment horizontal="left" vertical="top" wrapText="1"/>
    </xf>
    <xf numFmtId="0" fontId="3" fillId="5" borderId="1" applyAlignment="1" pivotButton="0" quotePrefix="0" xfId="0">
      <alignment horizontal="right"/>
    </xf>
    <xf numFmtId="4" fontId="3" fillId="5" borderId="1" applyAlignment="1" pivotButton="0" quotePrefix="0" xfId="0">
      <alignment horizontal="right"/>
    </xf>
    <xf numFmtId="0" fontId="6" fillId="5" borderId="1" applyAlignment="1" pivotButton="0" quotePrefix="0" xfId="0">
      <alignment horizontal="left" vertical="top" wrapText="1"/>
    </xf>
    <xf numFmtId="0" fontId="7" fillId="2" borderId="0" applyAlignment="1" pivotButton="0" quotePrefix="0" xfId="0">
      <alignment horizontal="left" vertical="center"/>
    </xf>
    <xf numFmtId="0" fontId="5" fillId="3" borderId="1" applyAlignment="1" pivotButton="0" quotePrefix="0" xfId="0">
      <alignment vertical="top" wrapText="1"/>
    </xf>
    <xf numFmtId="0" fontId="5" fillId="0" borderId="1" applyAlignment="1" pivotButton="0" quotePrefix="0" xfId="0">
      <alignment vertical="top" wrapText="1"/>
    </xf>
    <xf numFmtId="0" fontId="8" fillId="4" borderId="1" applyAlignment="1" pivotButton="0" quotePrefix="0" xfId="0">
      <alignment vertical="top" wrapText="1"/>
    </xf>
    <xf numFmtId="0" fontId="7" fillId="6" borderId="0" applyAlignment="1" pivotButton="0" quotePrefix="0" xfId="0">
      <alignment horizontal="left" vertical="center"/>
    </xf>
    <xf numFmtId="0" fontId="9" fillId="4" borderId="1" applyAlignment="1" pivotButton="0" quotePrefix="0" xfId="0">
      <alignment horizontal="left" vertical="top" wrapText="1"/>
    </xf>
    <xf numFmtId="0" fontId="10" fillId="5" borderId="1" applyAlignment="1" pivotButton="0" quotePrefix="0" xfId="0">
      <alignment horizontal="left" vertical="top" wrapText="1"/>
    </xf>
    <xf numFmtId="0" fontId="7" fillId="7" borderId="0" applyAlignment="1" pivotButton="0" quotePrefix="0" xfId="0">
      <alignment horizontal="left" vertical="center"/>
    </xf>
    <xf numFmtId="0" fontId="5" fillId="4" borderId="1" applyAlignment="1" pivotButton="0" quotePrefix="0" xfId="0">
      <alignment vertical="top" wrapText="1"/>
    </xf>
    <xf numFmtId="0" fontId="8" fillId="8" borderId="1" applyAlignment="1" pivotButton="0" quotePrefix="0" xfId="0">
      <alignment horizontal="center" vertical="top" wrapText="1"/>
    </xf>
    <xf numFmtId="0" fontId="5" fillId="8" borderId="1" applyAlignment="1" pivotButton="0" quotePrefix="0" xfId="0">
      <alignment horizontal="left" vertical="top" wrapText="1"/>
    </xf>
    <xf numFmtId="4" fontId="4" fillId="8" borderId="1" applyAlignment="1" pivotButton="0" quotePrefix="0" xfId="0">
      <alignment horizontal="right"/>
    </xf>
    <xf numFmtId="0" fontId="8" fillId="4" borderId="1" applyAlignment="1" pivotButton="0" quotePrefix="0" xfId="0">
      <alignment horizontal="center" vertical="top" wrapText="1"/>
    </xf>
    <xf numFmtId="0" fontId="8" fillId="9" borderId="1" applyAlignment="1" pivotButton="0" quotePrefix="0" xfId="0">
      <alignment horizontal="center" vertical="top" wrapText="1"/>
    </xf>
    <xf numFmtId="0" fontId="5" fillId="9" borderId="1" applyAlignment="1" pivotButton="0" quotePrefix="0" xfId="0">
      <alignment horizontal="left" vertical="top" wrapText="1"/>
    </xf>
    <xf numFmtId="4" fontId="4" fillId="9" borderId="1" applyAlignment="1" pivotButton="0" quotePrefix="0" xfId="0">
      <alignment horizontal="right"/>
    </xf>
    <xf numFmtId="0" fontId="11" fillId="0" borderId="0" applyAlignment="1" pivotButton="0" quotePrefix="0" xfId="0">
      <alignment wrapText="1"/>
    </xf>
    <xf numFmtId="0" fontId="0" fillId="0" borderId="4" pivotButton="0" quotePrefix="0" xfId="0"/>
    <xf numFmtId="0" fontId="0" fillId="0" borderId="5"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zoomScale="90" workbookViewId="0">
      <pane ySplit="1" topLeftCell="A2" activePane="bottomLeft" state="frozen"/>
      <selection pane="bottomLeft" activeCell="A1" sqref="A1"/>
    </sheetView>
  </sheetViews>
  <sheetFormatPr baseColWidth="8" defaultRowHeight="15"/>
  <cols>
    <col width="40" customWidth="1" min="1" max="1"/>
    <col width="20" customWidth="1" min="2" max="2"/>
    <col width="20" customWidth="1" min="3" max="3"/>
    <col width="44" customWidth="1" min="4" max="4"/>
  </cols>
  <sheetData>
    <row r="1" ht="26" customHeight="1">
      <c r="A1" s="39" t="inlineStr">
        <is>
          <t>⚠️ V2 CORRECTIONS APPLIED 2026-07-11 — SGM 2025 — 1120-S | FINAL AMENDED NET: ≈ +$85 (breakeven)</t>
        </is>
      </c>
    </row>
    <row r="2">
      <c r="A2" s="40" t="inlineStr">
        <is>
          <t>These corrections supersede the figures in the body of this sheet. Use AMENDED NET from row below for filing.</t>
        </is>
      </c>
    </row>
    <row r="3">
      <c r="A3" s="41" t="inlineStr">
        <is>
          <t>Item</t>
        </is>
      </c>
      <c r="B3" s="41" t="inlineStr">
        <is>
          <t>Old Value</t>
        </is>
      </c>
      <c r="C3" s="41" t="inlineStr">
        <is>
          <t>Corrected Value</t>
        </is>
      </c>
      <c r="D3" s="41" t="inlineStr">
        <is>
          <t>Reason</t>
        </is>
      </c>
    </row>
    <row r="4" ht="18" customHeight="1">
      <c r="A4" t="inlineStr">
        <is>
          <t>AMENDED NET INCOME (FINAL)</t>
        </is>
      </c>
      <c r="B4" t="inlineStr">
        <is>
          <t>−$11,915 (Assembly 3B)</t>
        </is>
      </c>
      <c r="C4" t="inlineStr">
        <is>
          <t>≈ +$85 (breakeven)</t>
        </is>
      </c>
      <c r="D4" t="inlineStr">
        <is>
          <t>Augusta $16,500→$4,500 (+$12,000 removed from deductions). −$11,915 + $12,000 = +$85. SGM 2025 is a wind-down entity + Amazon nominee pass-through. Breakeven result is FAVORABLE vs filed −$32,900.</t>
        </is>
      </c>
    </row>
    <row r="5" ht="40" customHeight="1">
      <c r="A5" t="inlineStr">
        <is>
          <t>Augusta deduction — CORRECTED</t>
        </is>
      </c>
      <c r="B5" t="inlineStr">
        <is>
          <t>$16,500 (as filed in packet)</t>
        </is>
      </c>
      <c r="C5" t="inlineStr">
        <is>
          <t>$4,500 (3 meetings × $1,500/day)</t>
        </is>
      </c>
      <c r="D5" t="inlineStr">
        <is>
          <t>SPLT held 11 of 14 total Augusta days; SGM = remaining 3 days = $4,500. Minutes on file. $1,500/day = comp-supported (Giggster/Peerspace comps attached). 32001 Royceton Ct = personal residence; §280A(g) applies. Remove $12,000 from SGM 2025 deductions.</t>
        </is>
      </c>
    </row>
    <row r="6" ht="40" customHeight="1">
      <c r="A6" t="inlineStr">
        <is>
          <t>$148,164 SGM→SPLT — VOIDED</t>
        </is>
      </c>
      <c r="B6" t="inlineStr">
        <is>
          <t>Balance-sheet entry: $148,164</t>
        </is>
      </c>
      <c r="C6" t="inlineStr">
        <is>
          <t>VOIDED — REMOVE FROM BOTH ENTITIES</t>
        </is>
      </c>
      <c r="D6" t="inlineStr">
        <is>
          <t>PHANTOM: Amazon payouts went directly to SPLT's bank (SGM EIN, SPLT bank account). SGM never received the cash to transfer. Remove from SGM 2025 balance sheet entirely. No interco loan or capital treatment needed.</t>
        </is>
      </c>
    </row>
    <row r="7" ht="40" customHeight="1">
      <c r="A7" t="inlineStr">
        <is>
          <t>SBA EIDL liability — Schedule L</t>
        </is>
      </c>
      <c r="B7" t="inlineStr">
        <is>
          <t>Schedule L entry (TJ to complete)</t>
        </is>
      </c>
      <c r="C7" t="inlineStr">
        <is>
          <t>~$387,000</t>
        </is>
      </c>
      <c r="D7" t="inlineStr">
        <is>
          <t>Further paydown through 2025. Loan #7855987406; 3.75%/yr. Must appear on Schedule L. Check if 12 full $2,018/mo payments were made in 2025 — some may have come from another account; incremental interest ~$14,700 est. full-year.</t>
        </is>
      </c>
    </row>
    <row r="8" ht="40" customHeight="1">
      <c r="A8" t="inlineStr">
        <is>
          <t>Entity characterization note</t>
        </is>
      </c>
      <c r="B8" t="inlineStr">
        <is>
          <t>Wind-down + nominee pass-through</t>
        </is>
      </c>
      <c r="C8" t="inlineStr">
        <is>
          <t>CONFIRMED</t>
        </is>
      </c>
      <c r="D8" t="inlineStr">
        <is>
          <t>SGM 2025 real gross receipts ≈ $55,484 (Amazon $15,220.80 pre-switch + non-Amazon $34,252 + consulting $6,011). The $240,010 Amazon 1099-K is reported IN then $224,789.09 is nominated OUT to SPLT. SGM is NOT a $280K revenue entity in 2025.</t>
        </is>
      </c>
    </row>
    <row r="9" ht="40" customHeight="1">
      <c r="A9" t="inlineStr">
        <is>
          <t>Nominee 1099 — HARD INTERLOCK</t>
        </is>
      </c>
      <c r="B9" t="inlineStr">
        <is>
          <t>Required before filing</t>
        </is>
      </c>
      <c r="C9" t="inlineStr">
        <is>
          <t>MUST ISSUE before SGM 2025 or SPLT 2025 files</t>
        </is>
      </c>
      <c r="D9" t="inlineStr">
        <is>
          <t>SGM issues Form 1099 to SPLT for $224,789.09. Without it, SPLT reports income with no matching doc; IRS sees a mismatch. See Step 3 of V2 Action Plan for 8-step procedure.</t>
        </is>
      </c>
    </row>
    <row r="10" ht="40" customHeight="1">
      <c r="A10" t="inlineStr">
        <is>
          <t>SBA EIDL interest 2025 — TJ</t>
        </is>
      </c>
      <c r="B10" t="inlineStr">
        <is>
          <t>~$14,700 est. full-year</t>
        </is>
      </c>
      <c r="C10" t="inlineStr">
        <is>
          <t>CONFIRM captured</t>
        </is>
      </c>
      <c r="D10" t="inlineStr">
        <is>
          <t>Pull SBA payment history. If $2,018 × 12 = $24,216 in payments in 2025, interest ~$14,700 at 3.75%. Confirm all interest is deducted, principal is NOT deducted.</t>
        </is>
      </c>
    </row>
    <row r="11" ht="40" customHeight="1">
      <c r="A11" s="41" t="inlineStr">
        <is>
          <t>--- END V2 CORRECTIONS ---</t>
        </is>
      </c>
    </row>
    <row r="12" ht="40" customHeight="1">
      <c r="A12" s="1" t="inlineStr">
        <is>
          <t>SGM / Social Gear Media LLC — 2025 Form 1120-S Amendment Packet</t>
        </is>
      </c>
    </row>
    <row r="13" ht="40" customHeight="1">
      <c r="A13" s="2" t="inlineStr">
        <is>
          <t>EIN 83-3077502  |  WF …8625  |  Tax Year 2025  |  CA S-Corp (1120-S)</t>
        </is>
      </c>
    </row>
    <row r="14"/>
    <row r="15" ht="20" customHeight="1">
      <c r="A15" s="3" t="inlineStr">
        <is>
          <t>Item</t>
        </is>
      </c>
      <c r="B15" s="3" t="inlineStr">
        <is>
          <t>As-Filed</t>
        </is>
      </c>
      <c r="C15" s="3" t="inlineStr">
        <is>
          <t>Amended</t>
        </is>
      </c>
      <c r="D15" s="3" t="inlineStr">
        <is>
          <t>Note</t>
        </is>
      </c>
    </row>
    <row r="16" ht="60" customHeight="1">
      <c r="A16" s="4" t="inlineStr">
        <is>
          <t>Gross Receipts (reported)</t>
        </is>
      </c>
      <c r="B16" s="5" t="n">
        <v>130976</v>
      </c>
      <c r="C16" s="5" t="n">
        <v>55484</v>
      </c>
      <c r="D16" s="6" t="inlineStr">
        <is>
          <t>Filed = pure bank deposits (owner loans $57,317 + interco $11,151 counted as revenue). Amended = real revenue only.</t>
        </is>
      </c>
    </row>
    <row r="17" ht="60" customHeight="1">
      <c r="A17" s="7" t="inlineStr">
        <is>
          <t>Amazon 1099-K (SGM TIN 83-3077502) — REPORTED IN</t>
        </is>
      </c>
      <c r="B17" s="8" t="n"/>
      <c r="C17" s="9" t="n">
        <v>240009.89</v>
      </c>
      <c r="D17" s="10" t="inlineStr">
        <is>
          <t>Full 1099-K reported IN on SGM 1120-S. Satisfies IRS CP2000 matching at $240K.</t>
        </is>
      </c>
    </row>
    <row r="18" ht="60" customHeight="1">
      <c r="A18" s="11" t="inlineStr">
        <is>
          <t>Amazon Nominee Distribution — DEDUCTED OUT</t>
        </is>
      </c>
      <c r="B18" s="12" t="n"/>
      <c r="C18" s="13" t="n">
        <v>-224789.09</v>
      </c>
      <c r="D18" s="14" t="inlineStr">
        <is>
          <t>Feb 5–Dec 31 Amazon orders earned by SPLT after account moved. Nominee 1099 issued SGM→SPLT EIN 33-3094308.</t>
        </is>
      </c>
    </row>
    <row r="19" ht="60" customHeight="1">
      <c r="A19" s="7" t="inlineStr">
        <is>
          <t>Amazon net on SGM (Jan 1–Feb 4 orders)</t>
        </is>
      </c>
      <c r="B19" s="8" t="n"/>
      <c r="C19" s="9" t="n">
        <v>15220.8</v>
      </c>
      <c r="D19" s="10" t="inlineStr">
        <is>
          <t>295 items / 302 units earned before cutoff. Source: Amazon order-date dashboard (Layer 7).</t>
        </is>
      </c>
    </row>
    <row r="20" ht="60" customHeight="1">
      <c r="A20" s="4" t="inlineStr">
        <is>
          <t>Non-Amazon bank revenue</t>
        </is>
      </c>
      <c r="B20" s="15" t="n"/>
      <c r="C20" s="5" t="n">
        <v>34252</v>
      </c>
      <c r="D20" s="6" t="inlineStr">
        <is>
          <t>SGM 2025 bank deposits — non-Amazon channels. Layer 7 classification, 720 rows, footed.</t>
        </is>
      </c>
    </row>
    <row r="21">
      <c r="A21" s="7" t="inlineStr">
        <is>
          <t>Consulting income (Teslarati + Video Elephant)</t>
        </is>
      </c>
      <c r="B21" s="8" t="n"/>
      <c r="C21" s="9" t="n">
        <v>6011</v>
      </c>
      <c r="D21" s="10" t="inlineStr">
        <is>
          <t>Named deposits in SGM 2025 bank. Layer 7. Confirmed NOT CB 2024 income.</t>
        </is>
      </c>
    </row>
    <row r="22">
      <c r="A22" s="16" t="inlineStr">
        <is>
          <t>Total Real Gross Receipts</t>
        </is>
      </c>
      <c r="B22" s="17" t="n"/>
      <c r="C22" s="18" t="n">
        <v>55484</v>
      </c>
      <c r="D22" s="19" t="inlineStr">
        <is>
          <t>LOCKED = $15,220.80 + $34,252 + $6,011. Layer 7 + Layer 12.</t>
        </is>
      </c>
    </row>
    <row r="23">
      <c r="A23" s="11" t="inlineStr">
        <is>
          <t>Total Deductions</t>
        </is>
      </c>
      <c r="B23" s="12" t="n"/>
      <c r="C23" s="13" t="n">
        <v>67398.78999999999</v>
      </c>
      <c r="D23" s="14" t="inlineStr">
        <is>
          <t>Itemized from SGM_2025_Txns — FINAL subject to TJ calls</t>
        </is>
      </c>
    </row>
    <row r="24">
      <c r="A24" s="16" t="inlineStr">
        <is>
          <t>Net Ordinary Income / (Loss)</t>
        </is>
      </c>
      <c r="B24" s="18" t="n">
        <v>-32900</v>
      </c>
      <c r="C24" s="18" t="n">
        <v>-11915</v>
      </c>
      <c r="D24" s="19" t="inlineStr">
        <is>
          <t>Favorable; does NOT raise tax — shallower than provisional −$19,027</t>
        </is>
      </c>
    </row>
    <row r="25"/>
    <row r="26">
      <c r="A26" s="20" t="inlineStr">
        <is>
          <t>KEY FINDINGS</t>
        </is>
      </c>
    </row>
    <row r="27">
      <c r="A27" s="21" t="inlineStr">
        <is>
          <t xml:space="preserve">  1. DEPOSIT-BASIS ERROR — CORRECTED:  Filed return used total bank deposits ($130,976) as gross receipts. Deposits included $57,317 owner loans + $11,151 interco transfers = $68,468 of non-income, inflating filed gross by that amount. Additionally, a $7,024 reclassification (reversals/misc) was removed in Layer 12. Amendment restates on real-revenue basis: $55,484.</t>
        </is>
      </c>
      <c r="B27" s="37" t="n"/>
      <c r="C27" s="37" t="n"/>
      <c r="D27" s="38" t="n"/>
    </row>
    <row r="28">
      <c r="A28" s="22" t="inlineStr">
        <is>
          <t xml:space="preserve">  2. AMAZON 1099-K NOMINEE MECHANICS (CENTERPIECE):  Amazon 1099-K $240,009.89 issued on SGM TIN because TIN update lagged when the account physically moved to SPLT (formed Jan 28, 2025). Resolution: SGM reports full $240,009.89 IN, deducts $224,789.09 OUT as Nominee Distribution, issues nominee 1099 to SPLT. SGM nets $15,220.80 (Jan 1–Feb 4 earned orders). TJ: also request corrected 1099-K from Amazon under SPLT TIN (belt-and-suspenders).</t>
        </is>
      </c>
      <c r="B28" s="37" t="n"/>
      <c r="C28" s="37" t="n"/>
      <c r="D28" s="38" t="n"/>
    </row>
    <row r="29">
      <c r="A29" s="21" t="inlineStr">
        <is>
          <t xml:space="preserve">  3. FILED DEDUCTION DETAIL — TJ TO VERIFY (CB 2024 LESSON):  Filed gross $130,976 − filed net −$32,900 = implied filed expenses $163,876. Filed deduction schedule NOT available in source docs. TJ to provide filed 1120-S for deduction-by-deduction comparison. CB 2024 found $104K of unsubstantiated QuickBooks catch-all deductions — apply same scrutiny here.</t>
        </is>
      </c>
      <c r="B29" s="37" t="n"/>
      <c r="C29" s="37" t="n"/>
      <c r="D29" s="38" t="n"/>
    </row>
    <row r="30">
      <c r="A30" s="22" t="inlineStr">
        <is>
          <t xml:space="preserve">  4. $148K SGM→SPLT TRANSFER — TJ LOAN-VS-CAPITAL DECISION:  $148,164 operating cash moved from SGM to SPLT as business shifted entities mid-2025. NOT P&amp;L. TJ: LOAN = interco receivable(SGM)/payable(SPLT); CAPITAL = permanent equity. $148K is material.</t>
        </is>
      </c>
      <c r="B30" s="37" t="n"/>
      <c r="C30" s="37" t="n"/>
      <c r="D30" s="38" t="n"/>
    </row>
    <row r="31">
      <c r="A31" s="21" t="inlineStr">
        <is>
          <t xml:space="preserve">  5. AUGUSTA RENT $16,500 — PENDING TJ CONFIRMATION:  Bank-substantiated. Deductibility requires: (a) 14-day annual cap not exceeded, (b) no home-office double-stack. TJ confirms and approves inclusion.</t>
        </is>
      </c>
      <c r="B31" s="37" t="n"/>
      <c r="C31" s="37" t="n"/>
      <c r="D31" s="38" t="n"/>
    </row>
    <row r="32">
      <c r="A32" t="inlineStr">
        <is>
          <t>Note: $34,600 provisional opex block replaced by $27,487.79 bank-itemized opex. Drop of $7,112 (block was over-stated). TJ adjustments (vehicle insurance $820, meals 50%, personal items ~$601, travel docs) could further reduce loss by $0–$1,421.</t>
        </is>
      </c>
    </row>
  </sheetData>
  <mergeCells count="8">
    <mergeCell ref="A1:D1"/>
    <mergeCell ref="A17:D17"/>
    <mergeCell ref="A18:D18"/>
    <mergeCell ref="A20:D20"/>
    <mergeCell ref="A15:D15"/>
    <mergeCell ref="A16:D16"/>
    <mergeCell ref="A2:D2"/>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zoomScale="90"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46" customWidth="1" min="5" max="5"/>
  </cols>
  <sheetData>
    <row r="1" ht="26" customHeight="1">
      <c r="A1" s="1" t="inlineStr">
        <is>
          <t>SGM 2025 — 1099-K Reconciliation &amp; Nominee Distribution</t>
        </is>
      </c>
    </row>
    <row r="3" ht="18" customHeight="1">
      <c r="A3" s="3" t="inlineStr">
        <is>
          <t>Form / Channel</t>
        </is>
      </c>
      <c r="B3" s="3" t="inlineStr">
        <is>
          <t>1099-K Gross</t>
        </is>
      </c>
      <c r="C3" s="3" t="inlineStr">
        <is>
          <t>SGM Keeps</t>
        </is>
      </c>
      <c r="D3" s="3" t="inlineStr">
        <is>
          <t>Nominee→SPLT</t>
        </is>
      </c>
      <c r="E3" s="3" t="inlineStr">
        <is>
          <t>Source / Note</t>
        </is>
      </c>
    </row>
    <row r="4" ht="44" customHeight="1">
      <c r="A4" s="4" t="inlineStr">
        <is>
          <t>Amazon US (SGM TIN 83-3077502)</t>
        </is>
      </c>
      <c r="B4" s="5" t="n">
        <v>240009.89</v>
      </c>
      <c r="C4" s="5" t="n">
        <v>15220.8</v>
      </c>
      <c r="D4" s="5" t="n">
        <v>224789.09</v>
      </c>
      <c r="E4" s="6" t="inlineStr">
        <is>
          <t>Layer 0 locked (penny-matched). SGM keeps Jan 1–Feb 4 orders ($15,220.80). Feb 5–Dec 31 nominee to SPLT.</t>
        </is>
      </c>
    </row>
    <row r="5" ht="44" customHeight="1">
      <c r="A5" s="11" t="inlineStr">
        <is>
          <t>TikTok Shop 2025 — no SGM-TIN 1099-K confirmed</t>
        </is>
      </c>
      <c r="B5" s="12" t="n"/>
      <c r="C5" s="12" t="n"/>
      <c r="D5" s="12" t="n"/>
      <c r="E5" s="14" t="inlineStr">
        <is>
          <t>2024 TikTok was on SGM TIN. 2025 TikTok wound down after Q2; no SGM-TIN TikTok 1099-K for 2025 identified. If issued, apply nominee logic if applicable. Verify with TJ.</t>
        </is>
      </c>
    </row>
    <row r="6" ht="44" customHeight="1">
      <c r="A6" s="4" t="inlineStr">
        <is>
          <t>Other SGM-TIN 1099-Ks</t>
        </is>
      </c>
      <c r="B6" s="15" t="n"/>
      <c r="C6" s="15" t="n"/>
      <c r="D6" s="15" t="n"/>
      <c r="E6" s="6" t="inlineStr">
        <is>
          <t>No other 2025 1099-Ks on SGM TIN in source docs. TJ to confirm.</t>
        </is>
      </c>
    </row>
    <row r="7" ht="44" customHeight="1">
      <c r="A7" s="16" t="inlineStr">
        <is>
          <t>TOTAL (Amazon)</t>
        </is>
      </c>
      <c r="B7" s="18" t="n">
        <v>240009.89</v>
      </c>
      <c r="C7" s="18" t="n">
        <v>15220.8</v>
      </c>
      <c r="D7" s="18" t="n">
        <v>224789.09</v>
      </c>
      <c r="E7" s="19" t="inlineStr">
        <is>
          <t>LOCKED — Layer 7 + order-date dashboard.</t>
        </is>
      </c>
    </row>
    <row r="9" ht="20" customHeight="1">
      <c r="A9" s="20" t="inlineStr">
        <is>
          <t>NOMINEE MECHANICS — STEP-BY-STEP (IRS guidance: irs.gov/…/form-1099-k-in-error)</t>
        </is>
      </c>
    </row>
    <row r="10" ht="30" customHeight="1">
      <c r="A10" s="21" t="inlineStr">
        <is>
          <t>STEP 1: SGM reports the FULL $240,009.89 Amazon 1099-K on its 2025 1120-S income (Line 1). IRS matching satisfied at SGM TIN.</t>
        </is>
      </c>
      <c r="B10" s="37" t="n"/>
      <c r="C10" s="37" t="n"/>
      <c r="D10" s="37" t="n"/>
      <c r="E10" s="38" t="n"/>
    </row>
    <row r="11" ht="30" customHeight="1">
      <c r="A11" s="22" t="inlineStr">
        <is>
          <t>STEP 2: SGM deducts $224,789.09 as Nominee Distribution (Other Deductions line, labeled 'Nominee Distribution to SPLT INC EIN 33-3094308').</t>
        </is>
      </c>
      <c r="B11" s="37" t="n"/>
      <c r="C11" s="37" t="n"/>
      <c r="D11" s="37" t="n"/>
      <c r="E11" s="38" t="n"/>
    </row>
    <row r="12" ht="30" customHeight="1">
      <c r="A12" s="21" t="inlineStr">
        <is>
          <t>STEP 3: SGM issues Form 1099 (nominee) to SPLT INC (EIN 33-3094308) for $224,789.09. TJ files this form.</t>
        </is>
      </c>
      <c r="B12" s="37" t="n"/>
      <c r="C12" s="37" t="n"/>
      <c r="D12" s="37" t="n"/>
      <c r="E12" s="38" t="n"/>
    </row>
    <row r="13" ht="30" customHeight="1">
      <c r="A13" s="22" t="inlineStr">
        <is>
          <t>STEP 4: SPLT reports $224,789.09 as gross income on its 2025 1120.</t>
        </is>
      </c>
      <c r="B13" s="37" t="n"/>
      <c r="C13" s="37" t="n"/>
      <c r="D13" s="37" t="n"/>
      <c r="E13" s="38" t="n"/>
    </row>
    <row r="14" ht="30" customHeight="1">
      <c r="A14" s="21" t="inlineStr">
        <is>
          <t>STEP 5 (belt-and-suspenders): Also request CORRECTED 1099-K from Amazon under SPLT TIN EIN 33-3094308.</t>
        </is>
      </c>
      <c r="B14" s="37" t="n"/>
      <c r="C14" s="37" t="n"/>
      <c r="D14" s="37" t="n"/>
      <c r="E14" s="38" t="n"/>
    </row>
    <row r="15" ht="30" customHeight="1">
      <c r="A15" s="22" t="inlineStr">
        <is>
          <t>SPLIT DATE: Feb 4, 2025. Account moved to SPLT at SPLT formation Jan 28, 2025; effective order-date cutoff = Feb 4.</t>
        </is>
      </c>
      <c r="B15" s="37" t="n"/>
      <c r="C15" s="37" t="n"/>
      <c r="D15" s="37" t="n"/>
      <c r="E15" s="38" t="n"/>
    </row>
    <row r="16" ht="30" customHeight="1">
      <c r="A16" s="21" t="inlineStr">
        <is>
          <t>BASIS: Order-date earned basis (NOT cash-landing). Amazon settlement lag means some Jan orders land in SPLT bank after Feb 4 — attribute by ORDER DATE.</t>
        </is>
      </c>
      <c r="B16" s="37" t="n"/>
      <c r="C16" s="37" t="n"/>
      <c r="D16" s="37" t="n"/>
      <c r="E16" s="38" t="n"/>
    </row>
    <row r="17" ht="30" customHeight="1">
      <c r="A17" s="23" t="inlineStr">
        <is>
          <t>⚠️ FEES: Amazon fees on the $224,789.09 nominee portion FOLLOWED income to SPLT (~$53,030). SGM deducts fees only on its $15,220.80 slice ($7,071). See tab 5.</t>
        </is>
      </c>
      <c r="B17" s="37" t="n"/>
      <c r="C17" s="37" t="n"/>
      <c r="D17" s="37" t="n"/>
      <c r="E17" s="38" t="n"/>
    </row>
  </sheetData>
  <mergeCells count="10">
    <mergeCell ref="A12:E12"/>
    <mergeCell ref="A16:E16"/>
    <mergeCell ref="A15:E15"/>
    <mergeCell ref="A10:E10"/>
    <mergeCell ref="A11:E11"/>
    <mergeCell ref="A1:E1"/>
    <mergeCell ref="A13:E13"/>
    <mergeCell ref="A14:E14"/>
    <mergeCell ref="A17:E17"/>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zoomScale="90" workbookViewId="0">
      <pane ySplit="1" topLeftCell="A2" activePane="bottomLeft" state="frozen"/>
      <selection pane="bottomLeft" activeCell="A1" sqref="A1"/>
    </sheetView>
  </sheetViews>
  <sheetFormatPr baseColWidth="8" defaultRowHeight="15"/>
  <cols>
    <col width="40" customWidth="1" min="1" max="1"/>
    <col width="16" customWidth="1" min="2" max="2"/>
    <col width="14" customWidth="1" min="3" max="3"/>
    <col width="14" customWidth="1" min="4" max="4"/>
    <col width="44" customWidth="1" min="5" max="5"/>
  </cols>
  <sheetData>
    <row r="1" ht="26" customHeight="1">
      <c r="A1" s="1" t="inlineStr">
        <is>
          <t>SGM 2025 — Revenue Reconciliation (Filed Deposits → Real Gross Receipts)</t>
        </is>
      </c>
    </row>
    <row r="3" ht="20" customHeight="1">
      <c r="A3" s="24" t="inlineStr">
        <is>
          <t>PART A — Filed Deposit Decomposition (Why Filed Gross Was Wrong)</t>
        </is>
      </c>
    </row>
    <row r="4" ht="18" customHeight="1">
      <c r="A4" s="3" t="inlineStr">
        <is>
          <t>Deposit Category</t>
        </is>
      </c>
      <c r="B4" s="3" t="inlineStr">
        <is>
          <t>Amount</t>
        </is>
      </c>
      <c r="C4" s="3" t="inlineStr">
        <is>
          <t>Income?</t>
        </is>
      </c>
      <c r="D4" s="3" t="inlineStr">
        <is>
          <t>Treatment</t>
        </is>
      </c>
      <c r="E4" s="3" t="inlineStr">
        <is>
          <t>Source</t>
        </is>
      </c>
    </row>
    <row r="5" ht="38" customHeight="1">
      <c r="A5" s="4" t="inlineStr">
        <is>
          <t>Revenue deposits — real</t>
        </is>
      </c>
      <c r="B5" s="5" t="n">
        <v>59597</v>
      </c>
      <c r="C5" s="6" t="inlineStr">
        <is>
          <t>YES (partial)</t>
        </is>
      </c>
      <c r="D5" s="6" t="inlineStr">
        <is>
          <t>Real revenue channels. Further refined in Part B to $55,484 (some items reclassified in Layer 12).</t>
        </is>
      </c>
      <c r="E5" s="6" t="inlineStr">
        <is>
          <t>Layer 7 SGM_2025_Txns (720 rows, footed)</t>
        </is>
      </c>
    </row>
    <row r="6" ht="38" customHeight="1">
      <c r="A6" s="11" t="inlineStr">
        <is>
          <t>Owner loans — Riz (non-income)</t>
        </is>
      </c>
      <c r="B6" s="13" t="n">
        <v>57317</v>
      </c>
      <c r="C6" s="14" t="inlineStr">
        <is>
          <t>NO</t>
        </is>
      </c>
      <c r="D6" s="14" t="inlineStr">
        <is>
          <t>REMOVE — loans are not income. Balance-sheet liability.</t>
        </is>
      </c>
      <c r="E6" s="14" t="inlineStr">
        <is>
          <t>Layer 7 bank classification, loan/interco category</t>
        </is>
      </c>
    </row>
    <row r="7" ht="38" customHeight="1">
      <c r="A7" s="4" t="inlineStr">
        <is>
          <t>Interco transfer — CB (non-income)</t>
        </is>
      </c>
      <c r="B7" s="5" t="n">
        <v>9551</v>
      </c>
      <c r="C7" s="6" t="inlineStr">
        <is>
          <t>NO</t>
        </is>
      </c>
      <c r="D7" s="6" t="inlineStr">
        <is>
          <t>REMOVE — interco cash movement, not revenue.</t>
        </is>
      </c>
      <c r="E7" s="6" t="inlineStr">
        <is>
          <t>Layer 7 classification</t>
        </is>
      </c>
    </row>
    <row r="8" ht="38" customHeight="1">
      <c r="A8" s="7" t="inlineStr">
        <is>
          <t>Interco transfer — SPLT (non-income)</t>
        </is>
      </c>
      <c r="B8" s="9" t="n">
        <v>1600</v>
      </c>
      <c r="C8" s="10" t="inlineStr">
        <is>
          <t>NO</t>
        </is>
      </c>
      <c r="D8" s="10" t="inlineStr">
        <is>
          <t>REMOVE — interco cash movement, not revenue.</t>
        </is>
      </c>
      <c r="E8" s="10" t="inlineStr">
        <is>
          <t>Layer 7 classification</t>
        </is>
      </c>
    </row>
    <row r="9" ht="38" customHeight="1">
      <c r="A9" s="4" t="inlineStr">
        <is>
          <t>Reversals + misc reclassifications</t>
        </is>
      </c>
      <c r="B9" s="5" t="n">
        <v>7024</v>
      </c>
      <c r="C9" s="6" t="inlineStr">
        <is>
          <t>NO</t>
        </is>
      </c>
      <c r="D9" s="6" t="inlineStr">
        <is>
          <t>REMOVE — reversals $2,390 + misc items reclassified in Layer 7→Layer 12 refinement.</t>
        </is>
      </c>
      <c r="E9" s="6" t="inlineStr">
        <is>
          <t>Layer 7 + Layer 12 recompute</t>
        </is>
      </c>
    </row>
    <row r="10" ht="38" customHeight="1">
      <c r="A10" s="16" t="inlineStr">
        <is>
          <t>FILED AS GROSS RECEIPTS (INCORRECT)</t>
        </is>
      </c>
      <c r="B10" s="18" t="n">
        <v>130976</v>
      </c>
      <c r="C10" s="19" t="inlineStr">
        <is>
          <t>—</t>
        </is>
      </c>
      <c r="D10" s="19" t="inlineStr">
        <is>
          <t>Filed 1120-S used total deposits as gross receipts. Deposit-basis error.</t>
        </is>
      </c>
      <c r="E10" s="19" t="inlineStr">
        <is>
          <t>Filed 1120-S (TJ reference)</t>
        </is>
      </c>
    </row>
    <row r="11" ht="38" customHeight="1">
      <c r="A11" s="4" t="inlineStr">
        <is>
          <t>Less: non-income deposits</t>
        </is>
      </c>
      <c r="B11" s="5" t="n">
        <v>-75492</v>
      </c>
      <c r="C11" s="6" t="inlineStr">
        <is>
          <t>—</t>
        </is>
      </c>
      <c r="D11" s="6">
        <f> Loans $57,317 + interco $11,151 + reversals/misc $7,024. All removed.</f>
        <v/>
      </c>
      <c r="E11" s="6" t="inlineStr">
        <is>
          <t>Computed removal</t>
        </is>
      </c>
    </row>
    <row r="12" ht="38" customHeight="1">
      <c r="A12" s="16">
        <f> CORRECTED GROSS RECEIPTS (AMENDED)</f>
        <v/>
      </c>
      <c r="B12" s="18" t="n">
        <v>55484</v>
      </c>
      <c r="C12" s="19" t="inlineStr">
        <is>
          <t>—</t>
        </is>
      </c>
      <c r="D12" s="19" t="inlineStr">
        <is>
          <t>LOCKED FINAL. See Part B for channel breakdown.</t>
        </is>
      </c>
      <c r="E12" s="19" t="inlineStr">
        <is>
          <t>Layer 7 + Layer 12. LOCKED.</t>
        </is>
      </c>
    </row>
    <row r="14" ht="20" customHeight="1">
      <c r="A14" s="24" t="inlineStr">
        <is>
          <t>PART B — Real Revenue Build (Amended Gross Receipts = $55,484 LOCKED)</t>
        </is>
      </c>
    </row>
    <row r="15" ht="18" customHeight="1">
      <c r="A15" s="3" t="inlineStr">
        <is>
          <t>Revenue Channel</t>
        </is>
      </c>
      <c r="B15" s="3" t="inlineStr">
        <is>
          <t>Gross</t>
        </is>
      </c>
      <c r="C15" s="3" t="inlineStr">
        <is>
          <t>Fees (SGM portion)</t>
        </is>
      </c>
      <c r="D15" s="3" t="inlineStr">
        <is>
          <t>Net on SGM</t>
        </is>
      </c>
      <c r="E15" s="3" t="inlineStr">
        <is>
          <t>Source</t>
        </is>
      </c>
    </row>
    <row r="16" ht="38" customHeight="1">
      <c r="A16" s="4" t="inlineStr">
        <is>
          <t>Amazon US — SGM keeps (Jan 1–Feb 4 orders)</t>
        </is>
      </c>
      <c r="B16" s="5" t="n">
        <v>15220.8</v>
      </c>
      <c r="C16" s="5" t="n">
        <v>-7071</v>
      </c>
      <c r="D16" s="5" t="n">
        <v>8149.8</v>
      </c>
      <c r="E16" s="6" t="inlineStr">
        <is>
          <t>LOCKED. Amazon order-date dashboard, 295 items/302 units. Layer 7.</t>
        </is>
      </c>
    </row>
    <row r="17" ht="38" customHeight="1">
      <c r="A17" s="7" t="inlineStr">
        <is>
          <t>Non-Amazon bank revenue (other SGM 2025 channels)</t>
        </is>
      </c>
      <c r="B17" s="9" t="n">
        <v>34252</v>
      </c>
      <c r="C17" s="8" t="n"/>
      <c r="D17" s="9" t="n">
        <v>34252</v>
      </c>
      <c r="E17" s="10" t="inlineStr">
        <is>
          <t>SGM 2025 bank classification, Layer 7 (footed). Itemization in ledger tab SGM_2025_Txns.</t>
        </is>
      </c>
    </row>
    <row r="18" ht="38" customHeight="1">
      <c r="A18" s="4" t="inlineStr">
        <is>
          <t>Consulting — Teslarati + Video Elephant</t>
        </is>
      </c>
      <c r="B18" s="5" t="n">
        <v>6011</v>
      </c>
      <c r="C18" s="15" t="n"/>
      <c r="D18" s="5" t="n">
        <v>6011</v>
      </c>
      <c r="E18" s="6" t="inlineStr">
        <is>
          <t>Named deposits in SGM 2025 bank. Layer 7. NOT CB 2024 (confirmed Layer 9C).</t>
        </is>
      </c>
    </row>
    <row r="19" ht="38" customHeight="1">
      <c r="A19" s="16" t="inlineStr">
        <is>
          <t>TOTAL REAL GROSS RECEIPTS</t>
        </is>
      </c>
      <c r="B19" s="18" t="n">
        <v>55484</v>
      </c>
      <c r="C19" s="18" t="n">
        <v>-7071</v>
      </c>
      <c r="D19" s="18" t="n">
        <v>48413</v>
      </c>
      <c r="E19" s="19" t="inlineStr">
        <is>
          <t>LOCKED FINAL. Layer 7 + Layer 12.</t>
        </is>
      </c>
    </row>
  </sheetData>
  <mergeCells count="3">
    <mergeCell ref="A14:E14"/>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zoomScale="90" workbookViewId="0">
      <pane ySplit="1" topLeftCell="A2" activePane="bottomLeft" state="frozen"/>
      <selection pane="bottomLeft" activeCell="A1" sqref="A1"/>
    </sheetView>
  </sheetViews>
  <sheetFormatPr baseColWidth="8" defaultRowHeight="15"/>
  <cols>
    <col width="40" customWidth="1" min="1" max="1"/>
    <col width="16" customWidth="1" min="2" max="2"/>
    <col width="52" customWidth="1" min="3" max="3"/>
  </cols>
  <sheetData>
    <row r="1" ht="26" customHeight="1">
      <c r="A1" s="1" t="inlineStr">
        <is>
          <t>SGM 2025 — COGS &amp; Inventory</t>
        </is>
      </c>
    </row>
    <row r="3" ht="18" customHeight="1">
      <c r="A3" s="3" t="inlineStr">
        <is>
          <t>Item</t>
        </is>
      </c>
      <c r="B3" s="3" t="inlineStr">
        <is>
          <t>Amount</t>
        </is>
      </c>
      <c r="C3" s="3" t="inlineStr">
        <is>
          <t>Note / Source</t>
        </is>
      </c>
    </row>
    <row r="4" ht="60" customHeight="1">
      <c r="A4" s="4" t="inlineStr">
        <is>
          <t>SGM 2025 entity status</t>
        </is>
      </c>
      <c r="B4" s="15" t="n"/>
      <c r="C4" s="6" t="inlineStr">
        <is>
          <t>Wind-down entity. SPLT INC (formed Jan 28, 2025) is the primary 2025 Splitflask operating entity. SGM's Amazon sales (Jan 1–Feb 4 only) represent its only 2025 product revenue. Product inventory/COGS for the bulk of 2025 Splitflask sales belongs on SPLT's 1120.</t>
        </is>
      </c>
    </row>
    <row r="5" ht="60" customHeight="1">
      <c r="A5" s="7" t="inlineStr">
        <is>
          <t>Amazon fees on SGM's $15,220.80 slice (referral + FBA)</t>
        </is>
      </c>
      <c r="B5" s="9" t="n">
        <v>7071</v>
      </c>
      <c r="C5" s="10" t="inlineStr">
        <is>
          <t>SUBSTANTIATED — Amazon Seller Central settlement statement. Applies to SGM's kept slice only. ~46.5% effective rate on this small pre-switch slice (includes FBA + referral + storage on orders placed before Feb 4). Nominee portion's fees followed income to SPLT. Source: Layer 11.</t>
        </is>
      </c>
    </row>
    <row r="6" ht="60" customHeight="1">
      <c r="A6" s="25" t="inlineStr">
        <is>
          <t>Splitflask product COGS for 2025</t>
        </is>
      </c>
      <c r="B6" s="12" t="n"/>
      <c r="C6" s="14" t="inlineStr">
        <is>
          <t>SPLT's balance sheet — not SGM. If TJ filed COGS on SGM's 2025 1120-S, verify each line traces to an SGM bank payment in the Layer 7 footed classification (SGM_2025_Txns ledger tab).</t>
        </is>
      </c>
    </row>
    <row r="7" ht="60" customHeight="1">
      <c r="A7" s="25" t="inlineStr">
        <is>
          <t>⚠️ TJ ACTION — check filed COGS</t>
        </is>
      </c>
      <c r="B7" s="12" t="n"/>
      <c r="C7" s="14" t="inlineStr">
        <is>
          <t>If the filed SGM 2025 1120-S included COGS, provide the Schedule A detail. Each line must trace to an SGM bank/card transaction. CB 2024 had $104K of unsubstantiated filed deductions; apply same scrutiny here. Any filed COGS without bank backing = potentially unsubstantiated.</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zoomScale="90" workbookViewId="0">
      <pane ySplit="1" topLeftCell="A2"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46" customWidth="1" min="5" max="5"/>
  </cols>
  <sheetData>
    <row r="1" ht="26" customHeight="1">
      <c r="A1" s="1" t="inlineStr">
        <is>
          <t>SGM 2025 — Deductions (Substantiated) + Filed-vs-Bank Recon</t>
        </is>
      </c>
    </row>
    <row r="2">
      <c r="A2" t="inlineStr">
        <is>
          <t>Item</t>
        </is>
      </c>
      <c r="B2" t="inlineStr">
        <is>
          <t>Amount</t>
        </is>
      </c>
      <c r="C2" t="inlineStr">
        <is>
          <t>Status</t>
        </is>
      </c>
      <c r="D2" t="inlineStr">
        <is>
          <t>Notes</t>
        </is>
      </c>
    </row>
    <row r="3" ht="18" customHeight="1">
      <c r="A3" t="inlineStr">
        <is>
          <t>Amazon platform fees (SGM slice, Jan 1–Feb 4)</t>
        </is>
      </c>
      <c r="B3" t="n">
        <v>7071</v>
      </c>
      <c r="C3" t="inlineStr">
        <is>
          <t>SUBSTANTIATED</t>
        </is>
      </c>
      <c r="D3" t="inlineStr">
        <is>
          <t>Settlement-sourced; fees follow income</t>
        </is>
      </c>
    </row>
    <row r="4" ht="56" customHeight="1">
      <c r="A4" t="inlineStr">
        <is>
          <t>Augusta rule rent (warehouse $12,500 + home-office $4,000)</t>
        </is>
      </c>
      <c r="B4" t="n">
        <v>16500</v>
      </c>
      <c r="C4" t="inlineStr">
        <is>
          <t>⚠️ TJ CONFIRM</t>
        </is>
      </c>
      <c r="D4" t="inlineStr">
        <is>
          <t>14-day cap; 4 Augusta payments = 4 days used; warehouse Jan–May only</t>
        </is>
      </c>
    </row>
    <row r="5" ht="56" customHeight="1">
      <c r="A5" t="inlineStr">
        <is>
          <t>FB/Meta ads — SGM cards (···1400 $12,704 + ···0261 $2,736 + ···6559 $900)</t>
        </is>
      </c>
      <c r="B5" t="n">
        <v>16340</v>
      </c>
      <c r="C5" t="inlineStr">
        <is>
          <t>SUBSTANTIATED</t>
        </is>
      </c>
      <c r="D5" t="inlineStr">
        <is>
          <t>Invoice-attributed; ···0261 debit in bank</t>
        </is>
      </c>
    </row>
    <row r="6" ht="56" customHeight="1">
      <c r="A6" t="inlineStr">
        <is>
          <t>BANK_FEE</t>
        </is>
      </c>
      <c r="B6" t="n">
        <v>732.77</v>
      </c>
      <c r="C6" t="inlineStr">
        <is>
          <t>SUBSTANTIATED</t>
        </is>
      </c>
      <c r="D6" t="inlineStr">
        <is>
          <t>Bank service charges — SGM_2025_Txns</t>
        </is>
      </c>
    </row>
    <row r="7" ht="56" customHeight="1">
      <c r="A7" t="inlineStr">
        <is>
          <t>MEALS (gross — apply 50% haircut)</t>
        </is>
      </c>
      <c r="B7" t="n">
        <v>610.75</v>
      </c>
      <c r="C7" t="inlineStr">
        <is>
          <t>⚠️ TJ — 50% rule</t>
        </is>
      </c>
      <c r="D7" t="inlineStr">
        <is>
          <t>21 restaurant charges; TJ applies 50% → $305.38 deductible</t>
        </is>
      </c>
    </row>
    <row r="8" ht="56" customHeight="1">
      <c r="A8" t="inlineStr">
        <is>
          <t>OPEX_CONTRACTOR</t>
        </is>
      </c>
      <c r="B8" t="n">
        <v>1881.35</v>
      </c>
      <c r="C8" t="inlineStr">
        <is>
          <t>SUBSTANTIATED</t>
        </is>
      </c>
      <c r="D8" t="inlineStr">
        <is>
          <t>SGM_2025_Txns</t>
        </is>
      </c>
    </row>
    <row r="9" ht="56" customHeight="1">
      <c r="A9" t="inlineStr">
        <is>
          <t>OPEX_EDUCATION</t>
        </is>
      </c>
      <c r="B9" t="n">
        <v>259</v>
      </c>
      <c r="C9" t="inlineStr">
        <is>
          <t>SUBSTANTIATED</t>
        </is>
      </c>
      <c r="D9" t="inlineStr">
        <is>
          <t>SGM_2025_Txns</t>
        </is>
      </c>
    </row>
    <row r="10" ht="56" customHeight="1">
      <c r="A10" t="inlineStr">
        <is>
          <t>OPEX_INSURANCE (Next Insurance biz policy)</t>
        </is>
      </c>
      <c r="B10" t="n">
        <v>93.67</v>
      </c>
      <c r="C10" t="inlineStr">
        <is>
          <t>SUBSTANTIATED</t>
        </is>
      </c>
      <c r="D10" t="inlineStr">
        <is>
          <t>SGM_2025_Txns</t>
        </is>
      </c>
    </row>
    <row r="11">
      <c r="A11" t="inlineStr">
        <is>
          <t>OPEX_INSURANCE_VEHICLE (Tesla Insurance)</t>
        </is>
      </c>
      <c r="B11" t="n">
        <v>820.05</v>
      </c>
      <c r="C11" t="inlineStr">
        <is>
          <t>⚠️ DROP — TJ confirm</t>
        </is>
      </c>
      <c r="D11" t="inlineStr">
        <is>
          <t>Standard mileage election bars vehicle insurance deduction</t>
        </is>
      </c>
    </row>
    <row r="12" ht="20" customHeight="1">
      <c r="A12" t="inlineStr">
        <is>
          <t>OPEX_LEGAL_PATENT</t>
        </is>
      </c>
      <c r="B12" t="n">
        <v>670</v>
      </c>
      <c r="C12" t="inlineStr">
        <is>
          <t>SUBSTANTIATED</t>
        </is>
      </c>
      <c r="D12" t="inlineStr">
        <is>
          <t>USPTO fees; SGM_2025_Txns</t>
        </is>
      </c>
    </row>
    <row r="13" ht="130" customHeight="1">
      <c r="A13" t="inlineStr">
        <is>
          <t>OPEX_OTHER (net of flagged personal)</t>
        </is>
      </c>
      <c r="B13" t="n">
        <v>2362.35</v>
      </c>
      <c r="C13" t="inlineStr">
        <is>
          <t>⚠️ TJ REVIEW</t>
        </is>
      </c>
      <c r="D13" t="inlineStr">
        <is>
          <t>Includes $411 Westlake Baseball + $190 Reg Nursing (likely personal → ~$601 at risk); $800 CA FTX payment; T-Mobile biz %</t>
        </is>
      </c>
    </row>
    <row r="14">
      <c r="A14" t="inlineStr">
        <is>
          <t>OPEX_PLATFORM_FEE</t>
        </is>
      </c>
      <c r="B14" t="n">
        <v>154.75</v>
      </c>
      <c r="C14" t="inlineStr">
        <is>
          <t>SUBSTANTIATED</t>
        </is>
      </c>
      <c r="D14" t="inlineStr">
        <is>
          <t>SGM_2025_Txns</t>
        </is>
      </c>
    </row>
    <row r="15">
      <c r="A15" t="inlineStr">
        <is>
          <t>OPEX_SHIPPING</t>
        </is>
      </c>
      <c r="B15" t="n">
        <v>10.45</v>
      </c>
      <c r="C15" t="inlineStr">
        <is>
          <t>SUBSTANTIATED</t>
        </is>
      </c>
      <c r="D15" t="inlineStr">
        <is>
          <t>SGM_2025_Txns</t>
        </is>
      </c>
    </row>
    <row r="16">
      <c r="A16" t="inlineStr">
        <is>
          <t>OPEX_SOFTWARE</t>
        </is>
      </c>
      <c r="B16" t="n">
        <v>11044.71</v>
      </c>
      <c r="C16" t="inlineStr">
        <is>
          <t>SUBSTANTIATED</t>
        </is>
      </c>
      <c r="D16" t="inlineStr">
        <is>
          <t>Veeqo, Klaviyo, Emotive, Shopify, Adobe; SGM_2025_Txns</t>
        </is>
      </c>
    </row>
    <row r="17">
      <c r="A17" t="inlineStr">
        <is>
          <t>OPEX_SUPPLIES</t>
        </is>
      </c>
      <c r="B17" t="n">
        <v>2681.84</v>
      </c>
      <c r="C17" t="inlineStr">
        <is>
          <t>SUBSTANTIATED</t>
        </is>
      </c>
      <c r="D17" t="inlineStr">
        <is>
          <t>SGM_2025_Txns</t>
        </is>
      </c>
    </row>
    <row r="18">
      <c r="A18" t="inlineStr">
        <is>
          <t>OPEX_TRAVEL (Airbnb Jan)</t>
        </is>
      </c>
      <c r="B18" t="n">
        <v>1502.93</v>
      </c>
      <c r="C18" t="inlineStr">
        <is>
          <t>⚠️ TJ — biz purpose</t>
        </is>
      </c>
      <c r="D18" t="inlineStr">
        <is>
          <t>Airbnb 1/23 — Shark Tank prep period; document business purpose</t>
        </is>
      </c>
    </row>
    <row r="19">
      <c r="A19" t="inlineStr">
        <is>
          <t>TRAVEL (Chicago trade show + Morocco)</t>
        </is>
      </c>
      <c r="B19" t="n">
        <v>4663.17</v>
      </c>
      <c r="C19" t="inlineStr">
        <is>
          <t>⚠️ TJ — biz purpose</t>
        </is>
      </c>
      <c r="D19" t="inlineStr">
        <is>
          <t>$2,795 Int'l House Chicago + $961 Morocco (docs required); Air France $232.83 may be refunded — confirm credit</t>
        </is>
      </c>
    </row>
    <row r="20">
      <c r="A20" t="inlineStr">
        <is>
          <t>SUBTOTAL — itemized opex (excl. rent)</t>
        </is>
      </c>
      <c r="B20" t="n">
        <v>27487.79</v>
      </c>
      <c r="C20" t="inlineStr">
        <is>
          <t>Replaces $34,600 provisional</t>
        </is>
      </c>
      <c r="D20" t="inlineStr">
        <is>
          <t>Bank-sourced; TJ adjustments above reduce by est. $820–$1,421</t>
        </is>
      </c>
    </row>
    <row r="21">
      <c r="A21" t="inlineStr">
        <is>
          <t>TOTAL DEDUCTIONS</t>
        </is>
      </c>
      <c r="B21" t="n">
        <v>67398.78999999999</v>
      </c>
      <c r="C21" t="inlineStr">
        <is>
          <t>FINAL (subject to TJ calls above)</t>
        </is>
      </c>
      <c r="D21" t="inlineStr">
        <is>
          <t>Was $74,511 provisional</t>
        </is>
      </c>
    </row>
    <row r="22">
      <c r="A22" t="inlineStr">
        <is>
          <t>NOTE: $34,600 PROVISIONAL block REPLACED — PROVISIONAL flag REMOVED. Opex now fully itemized from SGM_2025_Txns bank lines.</t>
        </is>
      </c>
      <c r="C22" t="inlineStr">
        <is>
          <t>UPDATED</t>
        </is>
      </c>
      <c r="D22" t="inlineStr">
        <is>
          <t>See SUBTOTAL row above; each line traces to footed SGM WF …8625 2025 statement</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zoomScale="90" workbookViewId="0">
      <pane ySplit="1" topLeftCell="A2" activePane="bottomLeft" state="frozen"/>
      <selection pane="bottomLeft" activeCell="A1" sqref="A1"/>
    </sheetView>
  </sheetViews>
  <sheetFormatPr baseColWidth="8" defaultRowHeight="15"/>
  <cols>
    <col width="38" customWidth="1" min="1" max="1"/>
    <col width="18" customWidth="1" min="2" max="2"/>
    <col width="22" customWidth="1" min="3" max="3"/>
    <col width="50" customWidth="1" min="4" max="4"/>
  </cols>
  <sheetData>
    <row r="1" ht="26" customHeight="1">
      <c r="A1" s="1" t="inlineStr">
        <is>
          <t>SGM 2025 — Nominee Distribution &amp; Intercompany</t>
        </is>
      </c>
    </row>
    <row r="3" ht="20" customHeight="1">
      <c r="A3" s="20" t="inlineStr">
        <is>
          <t>NOMINEE TABLE — Amazon $240K (SGM TIN → SPLT)</t>
        </is>
      </c>
    </row>
    <row r="4" ht="18" customHeight="1">
      <c r="A4" s="3" t="inlineStr">
        <is>
          <t>Nominee Flow Item</t>
        </is>
      </c>
      <c r="B4" s="3" t="inlineStr">
        <is>
          <t>Amount</t>
        </is>
      </c>
      <c r="C4" s="3" t="inlineStr">
        <is>
          <t>Return Line</t>
        </is>
      </c>
      <c r="D4" s="3" t="inlineStr">
        <is>
          <t>Action / Note</t>
        </is>
      </c>
    </row>
    <row r="5" ht="46" customHeight="1">
      <c r="A5" s="4" t="inlineStr">
        <is>
          <t>Amazon 1099-K gross — SGM TIN 83-3077502</t>
        </is>
      </c>
      <c r="B5" s="5" t="n">
        <v>240009.89</v>
      </c>
      <c r="C5" s="6" t="inlineStr">
        <is>
          <t>Income — Line 1 of 1120-S (REPORT IN FULL)</t>
        </is>
      </c>
      <c r="D5" s="6" t="inlineStr">
        <is>
          <t>Do NOT net before reporting. Must appear in full on SGM 1120-S to satisfy IRS CP2000 matching.</t>
        </is>
      </c>
    </row>
    <row r="6" ht="46" customHeight="1">
      <c r="A6" s="7" t="inlineStr">
        <is>
          <t xml:space="preserve">  → SGM keeps: Jan 1–Feb 4 earned orders</t>
        </is>
      </c>
      <c r="B6" s="9" t="n">
        <v>15220.8</v>
      </c>
      <c r="C6" s="10" t="inlineStr">
        <is>
          <t>Remains as SGM income</t>
        </is>
      </c>
      <c r="D6" s="10" t="inlineStr">
        <is>
          <t>295 orders, 302 units. Source: Amazon order-date dashboard. LOCKED. Layer 7.</t>
        </is>
      </c>
    </row>
    <row r="7" ht="46" customHeight="1">
      <c r="A7" s="11" t="inlineStr">
        <is>
          <t xml:space="preserve">  → Nominee OUT to SPLT: Feb 5–Dec 31 orders</t>
        </is>
      </c>
      <c r="B7" s="13" t="n">
        <v>-224789.09</v>
      </c>
      <c r="C7" s="14" t="inlineStr">
        <is>
          <t>Other Deductions — 'Nominee Distribution to SPLT INC EIN 33-3094308'</t>
        </is>
      </c>
      <c r="D7" s="14" t="inlineStr">
        <is>
          <t>SGM must file Form 1099 (nominee) to SPLT for $224,789.09. SPLT reports as income on 2025 1120.</t>
        </is>
      </c>
    </row>
    <row r="8" ht="46" customHeight="1">
      <c r="A8" s="16" t="inlineStr">
        <is>
          <t>Net Amazon income on SGM 1120-S</t>
        </is>
      </c>
      <c r="B8" s="18" t="n">
        <v>15220.8</v>
      </c>
      <c r="C8" s="19">
        <f> Line 1 minus Nominee Deduction</f>
        <v/>
      </c>
      <c r="D8" s="19" t="inlineStr">
        <is>
          <t>Confirms: $240,009.89 − $224,789.09 = $15,220.80. Math ties.</t>
        </is>
      </c>
    </row>
    <row r="9" ht="46" customHeight="1">
      <c r="A9" s="4" t="inlineStr">
        <is>
          <t>Amazon fees — nominee portion (follows to SPLT)</t>
        </is>
      </c>
      <c r="B9" s="5" t="n">
        <v>-53030</v>
      </c>
      <c r="C9" s="6" t="inlineStr">
        <is>
          <t>On SPLT's 2025 1120 (deduction)</t>
        </is>
      </c>
      <c r="D9" s="6" t="inlineStr">
        <is>
          <t>~26.7% on $224,789 nominee amount ≈ $60,101 total fees; SGM's slice $7,071; SPLT's ~$53,030. Fees follow income (Layer 11). SGM deducts $7,071 only (see tab 5).</t>
        </is>
      </c>
    </row>
    <row r="11" ht="20" customHeight="1">
      <c r="A11" s="24" t="inlineStr">
        <is>
          <t>INTERCOMPANY ITEMS</t>
        </is>
      </c>
    </row>
    <row r="12" ht="18" customHeight="1">
      <c r="A12" s="3" t="inlineStr">
        <is>
          <t>Intercompany Item</t>
        </is>
      </c>
      <c r="B12" s="3" t="inlineStr">
        <is>
          <t>Amount</t>
        </is>
      </c>
      <c r="C12" s="3" t="inlineStr">
        <is>
          <t>Treatment</t>
        </is>
      </c>
      <c r="D12" s="3" t="inlineStr">
        <is>
          <t>TJ Note</t>
        </is>
      </c>
    </row>
    <row r="13" ht="56" customHeight="1">
      <c r="A13" s="11" t="inlineStr">
        <is>
          <t>$148,164 SGM→SPLT operating transfer</t>
        </is>
      </c>
      <c r="B13" s="13" t="n">
        <v>148164</v>
      </c>
      <c r="C13" s="14" t="inlineStr">
        <is>
          <t>Balance sheet ONLY — NOT P&amp;L. Either: LOAN (interco receivable/payable) or CAPITAL (equity transfer).</t>
        </is>
      </c>
      <c r="D13" s="14" t="inlineStr">
        <is>
          <t>⚠️ TJ DECISION REQUIRED. $148K is material. LOAN: SGM shows receivable from SPLT; SPLT shows payable to SGM (settles). CAPITAL: permanent equity transfer, different implications. Layer 10 interco recon.</t>
        </is>
      </c>
    </row>
    <row r="14" ht="56" customHeight="1">
      <c r="A14" s="7" t="inlineStr">
        <is>
          <t>CB→SGM deposits $9,551 (removed from SGM income)</t>
        </is>
      </c>
      <c r="B14" s="9" t="n">
        <v>9551</v>
      </c>
      <c r="C14" s="10" t="inlineStr">
        <is>
          <t>NON-INCOME — interco cash movement. Removed in deposit decomposition.</t>
        </is>
      </c>
      <c r="D14" s="10" t="inlineStr">
        <is>
          <t>Consistent with 2024 interco treatment. Layer 7.</t>
        </is>
      </c>
    </row>
    <row r="15" ht="56" customHeight="1">
      <c r="A15" s="4" t="inlineStr">
        <is>
          <t>SPLT→SGM deposits $1,600 (removed from SGM income)</t>
        </is>
      </c>
      <c r="B15" s="5" t="n">
        <v>1600</v>
      </c>
      <c r="C15" s="6" t="inlineStr">
        <is>
          <t>NON-INCOME — interco. Removed in deposit decomposition.</t>
        </is>
      </c>
      <c r="D15" s="6" t="inlineStr">
        <is>
          <t>Layer 7 classification.</t>
        </is>
      </c>
    </row>
    <row r="16" ht="56" customHeight="1">
      <c r="A16" s="11" t="inlineStr">
        <is>
          <t>Nominee 1099 SGM→SPLT — to be filed by TJ</t>
        </is>
      </c>
      <c r="B16" s="13" t="n">
        <v>224789.09</v>
      </c>
      <c r="C16" s="14" t="inlineStr">
        <is>
          <t>TJ files Form 1099 from SGM (payer) to SPLT (recipient) for $224,789.09.</t>
        </is>
      </c>
      <c r="D16" s="14" t="inlineStr">
        <is>
          <t>Payee: SPLT INC, EIN 33-3094308, tax year 2025. Also request corrected Amazon 1099-K under SPLT TIN (belt-and-suspenders).</t>
        </is>
      </c>
    </row>
  </sheetData>
  <mergeCells count="3">
    <mergeCell ref="A1:D1"/>
    <mergeCell ref="A3:D3"/>
    <mergeCell ref="A11:D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zoomScale="90" workbookViewId="0">
      <pane ySplit="1" topLeftCell="A2" activePane="bottomLeft" state="frozen"/>
      <selection pane="bottomLeft" activeCell="A1" sqref="A1"/>
    </sheetView>
  </sheetViews>
  <sheetFormatPr baseColWidth="8" defaultRowHeight="15"/>
  <cols>
    <col width="14" customWidth="1" min="1" max="1"/>
    <col width="36" customWidth="1" min="2" max="2"/>
    <col width="20" customWidth="1" min="3" max="3"/>
    <col width="28" customWidth="1" min="4" max="4"/>
    <col width="52" customWidth="1" min="5" max="5"/>
  </cols>
  <sheetData>
    <row r="1" ht="26" customHeight="1">
      <c r="A1" s="1" t="inlineStr">
        <is>
          <t>SGM 2025 — Source Index (V12 Provenance Gate)</t>
        </is>
      </c>
    </row>
    <row r="3" ht="18" customHeight="1">
      <c r="A3" s="3" t="inlineStr">
        <is>
          <t>Source ID</t>
        </is>
      </c>
      <c r="B3" s="3" t="inlineStr">
        <is>
          <t>Figure</t>
        </is>
      </c>
      <c r="C3" s="3" t="inlineStr">
        <is>
          <t>Amount</t>
        </is>
      </c>
      <c r="D3" s="3" t="inlineStr">
        <is>
          <t>Source Document</t>
        </is>
      </c>
      <c r="E3" s="3" t="inlineStr">
        <is>
          <t>Location / Gate Status</t>
        </is>
      </c>
    </row>
    <row r="4" ht="44" customHeight="1">
      <c r="A4" s="29" t="inlineStr">
        <is>
          <t>SRC-S25-01</t>
        </is>
      </c>
      <c r="B4" s="30" t="inlineStr">
        <is>
          <t>Amazon 1099-K gross (SGM TIN)</t>
        </is>
      </c>
      <c r="C4" s="31" t="n">
        <v>240009.89</v>
      </c>
      <c r="D4" s="30" t="inlineStr">
        <is>
          <t>Amazon 1099-K — EIN 83-3077502</t>
        </is>
      </c>
      <c r="E4" s="30" t="inlineStr">
        <is>
          <t>[CLEAN] Layer 0 LOCKED (penny-matched). CLEAN — form-sourced.</t>
        </is>
      </c>
    </row>
    <row r="5" ht="44" customHeight="1">
      <c r="A5" s="29" t="inlineStr">
        <is>
          <t>SRC-S25-02</t>
        </is>
      </c>
      <c r="B5" s="30" t="inlineStr">
        <is>
          <t>Amazon SGM kept (Jan 1–Feb 4 orders)</t>
        </is>
      </c>
      <c r="C5" s="31" t="n">
        <v>15220.8</v>
      </c>
      <c r="D5" s="30" t="inlineStr">
        <is>
          <t>Amazon Seller Central order-date dashboard</t>
        </is>
      </c>
      <c r="E5" s="30" t="inlineStr">
        <is>
          <t>[CLEAN] Layer 7. 295 orders, 302 units, order-date cutoff Feb 4, 2025. CLEAN — platform doc.</t>
        </is>
      </c>
    </row>
    <row r="6" ht="44" customHeight="1">
      <c r="A6" s="29" t="inlineStr">
        <is>
          <t>SRC-S25-03</t>
        </is>
      </c>
      <c r="B6" s="30" t="inlineStr">
        <is>
          <t>Amazon nominee to SPLT</t>
        </is>
      </c>
      <c r="C6" s="31" t="n">
        <v>224789.09</v>
      </c>
      <c r="D6" s="30" t="inlineStr">
        <is>
          <t>Derived: $240,009.89 − $15,220.80</t>
        </is>
      </c>
      <c r="E6" s="30" t="inlineStr">
        <is>
          <t>[CLEAN] Layer 7 nominee computation. Confirmed: SPLT bank received $224,281.65 (~$507 timing, confirms split). CLEAN.</t>
        </is>
      </c>
    </row>
    <row r="7" ht="44" customHeight="1">
      <c r="A7" s="29" t="inlineStr">
        <is>
          <t>SRC-S25-04</t>
        </is>
      </c>
      <c r="B7" s="30" t="inlineStr">
        <is>
          <t>Non-Amazon bank revenue</t>
        </is>
      </c>
      <c r="C7" s="31" t="n">
        <v>34252</v>
      </c>
      <c r="D7" s="30" t="inlineStr">
        <is>
          <t>SGM WF …8625 bank statements 2025</t>
        </is>
      </c>
      <c r="E7" s="30" t="inlineStr">
        <is>
          <t>[CLEAN] Layer 7 SGM_2025_Txns. 720 rows, foots to closing balance $492.38. CLEAN — footed bank statement.</t>
        </is>
      </c>
    </row>
    <row r="8" ht="44" customHeight="1">
      <c r="A8" s="29" t="inlineStr">
        <is>
          <t>SRC-S25-05</t>
        </is>
      </c>
      <c r="B8" s="30" t="inlineStr">
        <is>
          <t>Consulting (Teslarati + Video Elephant)</t>
        </is>
      </c>
      <c r="C8" s="31" t="n">
        <v>6011</v>
      </c>
      <c r="D8" s="30" t="inlineStr">
        <is>
          <t>SGM WF …8625 bank statements 2025</t>
        </is>
      </c>
      <c r="E8" s="30" t="inlineStr">
        <is>
          <t>[CLEAN] Named deposits, Layer 7. Layer 9C: NOT CB 2024. CLEAN — footed bank statement.</t>
        </is>
      </c>
    </row>
    <row r="9" ht="44" customHeight="1">
      <c r="A9" s="29" t="inlineStr">
        <is>
          <t>SRC-S25-06</t>
        </is>
      </c>
      <c r="B9" s="30" t="inlineStr">
        <is>
          <t>Owner loans removed from income</t>
        </is>
      </c>
      <c r="C9" s="31" t="n">
        <v>57317</v>
      </c>
      <c r="D9" s="30" t="inlineStr">
        <is>
          <t>SGM WF …8625 bank statements 2025</t>
        </is>
      </c>
      <c r="E9" s="30" t="inlineStr">
        <is>
          <t>[CLEAN] Layer 7 — loan/interco category. Non-income (balance-sheet liability).</t>
        </is>
      </c>
    </row>
    <row r="10" ht="44" customHeight="1">
      <c r="A10" s="29" t="inlineStr">
        <is>
          <t>SRC-S25-07</t>
        </is>
      </c>
      <c r="B10" s="30" t="inlineStr">
        <is>
          <t>Interco deposits (CB $9,551 + SPLT $1,600)</t>
        </is>
      </c>
      <c r="C10" s="31" t="n">
        <v>11151</v>
      </c>
      <c r="D10" s="30" t="inlineStr">
        <is>
          <t>SGM WF …8625 bank statements 2025</t>
        </is>
      </c>
      <c r="E10" s="30" t="inlineStr">
        <is>
          <t>[CLEAN] Layer 7 classification. Non-income interco transfers.</t>
        </is>
      </c>
    </row>
    <row r="11" ht="44" customHeight="1">
      <c r="A11" s="29" t="inlineStr">
        <is>
          <t>SRC-S25-08</t>
        </is>
      </c>
      <c r="B11" s="30" t="inlineStr">
        <is>
          <t>Amazon fees on SGM's slice</t>
        </is>
      </c>
      <c r="C11" s="31" t="n">
        <v>7071</v>
      </c>
      <c r="D11" s="30" t="inlineStr">
        <is>
          <t>Amazon Seller Central settlement statement</t>
        </is>
      </c>
      <c r="E11" s="30" t="inlineStr">
        <is>
          <t>[CLEAN] Layer 11 fee-substantiation. SGM's $15,220.80 slice only. CLEAN — platform settlement doc.</t>
        </is>
      </c>
    </row>
    <row r="12" ht="44" customHeight="1">
      <c r="A12" s="32" t="inlineStr">
        <is>
          <t>SRC-S25-09</t>
        </is>
      </c>
      <c r="B12" s="14" t="inlineStr">
        <is>
          <t>Augusta rule rent</t>
        </is>
      </c>
      <c r="C12" s="13" t="n">
        <v>16500</v>
      </c>
      <c r="D12" s="14" t="inlineStr">
        <is>
          <t>SGM WF …8625 bank statements 2025</t>
        </is>
      </c>
      <c r="E12" s="14" t="inlineStr">
        <is>
          <t>[PROVISIONAL] Bank-substantiated, Layer 7. PROVISIONAL — pending TJ 14-day cap confirmation.</t>
        </is>
      </c>
    </row>
    <row r="13" ht="44" customHeight="1">
      <c r="A13" s="29" t="inlineStr">
        <is>
          <t>SRC-S25-10</t>
        </is>
      </c>
      <c r="B13" s="30" t="inlineStr">
        <is>
          <t>FB/Meta ads — SGM cards</t>
        </is>
      </c>
      <c r="C13" s="31" t="n">
        <v>16340</v>
      </c>
      <c r="D13" s="30" t="inlineStr">
        <is>
          <t>FB 2025 invoice (134-txn, $97,769.11 total)</t>
        </is>
      </c>
      <c r="E13" s="30" t="inlineStr">
        <is>
          <t>[CLEAN] SGM cards: ···1400 $12,704.23 + ···0261 $2,736.10 + ···6559 $900.00. Debit cards in bank — count from bank, not double-add from invoice. CLEAN — invoice + bank.</t>
        </is>
      </c>
    </row>
    <row r="14" ht="44" customHeight="1">
      <c r="A14" s="32" t="inlineStr">
        <is>
          <t>SRC-S25-11</t>
        </is>
      </c>
      <c r="B14" s="14" t="inlineStr">
        <is>
          <t>Non-Amazon opex (itemized from SGM_2025_Txns)</t>
        </is>
      </c>
      <c r="C14" s="13" t="n">
        <v>27487.79</v>
      </c>
      <c r="D14" s="14" t="inlineStr">
        <is>
          <t>SGM WF …8625 bank statements 2025 — SGM_2025_Txns ledger</t>
        </is>
      </c>
      <c r="E14" s="14" t="inlineStr">
        <is>
          <t>[CLEAN] Non-Amazon opex $27,487.79 — SUBSTANTIATED (itemized from SGM_2025_Txns; see 5_Deductions for line items). PROVISIONAL flag removed. V12-eligible.</t>
        </is>
      </c>
    </row>
    <row r="15" ht="44" customHeight="1">
      <c r="A15" s="32" t="inlineStr">
        <is>
          <t>SRC-S25-12</t>
        </is>
      </c>
      <c r="B15" s="14" t="inlineStr">
        <is>
          <t>$148K SGM→SPLT transfer</t>
        </is>
      </c>
      <c r="C15" s="13" t="n">
        <v>148164</v>
      </c>
      <c r="D15" s="14" t="inlineStr">
        <is>
          <t>SGM WF …8625 + SPLT WF …0423 bank statements</t>
        </is>
      </c>
      <c r="E15" s="14" t="inlineStr">
        <is>
          <t>[PROVISIONAL] Layer 10 interco recon. Balance-sheet item; P&amp;L treatment N/A. TJ loan-vs-capital pending.</t>
        </is>
      </c>
    </row>
    <row r="16" ht="44" customHeight="1">
      <c r="A16" s="33" t="inlineStr">
        <is>
          <t>SRC-S25-13</t>
        </is>
      </c>
      <c r="B16" s="34" t="inlineStr">
        <is>
          <t>Filed gross receipts (reference only)</t>
        </is>
      </c>
      <c r="C16" s="35" t="n">
        <v>130976</v>
      </c>
      <c r="D16" s="34" t="inlineStr">
        <is>
          <t>SGM 2025 1120-S as filed</t>
        </is>
      </c>
      <c r="E16" s="34" t="inlineStr">
        <is>
          <t>[REFERENCE] REFERENCE — deposit-basis error. Not used in amended computation.</t>
        </is>
      </c>
    </row>
    <row r="17" ht="44" customHeight="1">
      <c r="A17" s="33" t="inlineStr">
        <is>
          <t>SRC-S25-14</t>
        </is>
      </c>
      <c r="B17" s="34" t="inlineStr">
        <is>
          <t>Filed net income/(loss) (reference only)</t>
        </is>
      </c>
      <c r="C17" s="35" t="n">
        <v>-32900</v>
      </c>
      <c r="D17" s="34" t="inlineStr">
        <is>
          <t>SGM 2025 1120-S as filed</t>
        </is>
      </c>
      <c r="E17" s="34" t="inlineStr">
        <is>
          <t>[REFERENCE] REFERENCE — filed deduction detail not available. TJ to provide filed 1120-S schedule.</t>
        </is>
      </c>
    </row>
    <row r="18" ht="44" customHeight="1">
      <c r="A18" s="32" t="inlineStr">
        <is>
          <t>SRC-S25-15</t>
        </is>
      </c>
      <c r="B18" s="14" t="inlineStr">
        <is>
          <t>Amended net income/(loss)</t>
        </is>
      </c>
      <c r="C18" s="13" t="n">
        <v>-11915</v>
      </c>
      <c r="D18" s="14" t="inlineStr">
        <is>
          <t>Computed: $55,484 gross − $67,398.79 deductions</t>
        </is>
      </c>
      <c r="E18" s="14" t="inlineStr">
        <is>
          <t>[CLEAN] Amended net −$11,915 — FINAL (subject to TJ calls on vehicle insurance $820, meals 50%, travel biz-purpose docs). V12-eligible.</t>
        </is>
      </c>
    </row>
    <row r="20" ht="44" customHeight="1">
      <c r="A20" s="36" t="inlineStr">
        <is>
          <t>GATE KEY: CLEAN = footed bank statement or platform/1099-K document; PROVISIONAL = bank-substantiated but pending TJ action; REFERENCE = filed return figures (not used in amended computation). V12 PROVENANCE GATE: no figure enters V12 from unfooted parse. All CLEAN sources above satisfy the gate.</t>
        </is>
      </c>
    </row>
  </sheetData>
  <mergeCells count="2">
    <mergeCell ref="A1:E1"/>
    <mergeCell ref="A20: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2026-07-11T08:09:04Z</dcterms:created>
  <dcterms:modified xsi:type="dcterms:W3CDTF">2026-07-12T03:42:23Z</dcterms:modified>
</cp:coreProperties>
</file>