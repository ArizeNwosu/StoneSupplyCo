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Findings" sheetId="1" state="visible" r:id="rId3"/>
    <sheet name="Intercompany_RelatedParty" sheetId="2" state="visible" r:id="rId4"/>
    <sheet name="PL_Annual_TaxBasis" sheetId="3" state="visible" r:id="rId5"/>
    <sheet name="PL_Monthly_2024_SocialGear" sheetId="4" state="visible" r:id="rId6"/>
    <sheet name="PL_Monthly_2025_SPLT" sheetId="5" state="visible" r:id="rId7"/>
    <sheet name="SUPPL_SocialGear_2025_PL" sheetId="6" state="visible" r:id="rId8"/>
    <sheet name="CF_2023_SocialGear" sheetId="7" state="visible" r:id="rId9"/>
    <sheet name="CF_Monthly_2024_SocialGear" sheetId="8" state="visible" r:id="rId10"/>
    <sheet name="CF_Monthly_2025_SPLT" sheetId="9" state="visible" r:id="rId11"/>
    <sheet name="CF_Monthly_2026YTD_SPLT" sheetId="10" state="visible" r:id="rId12"/>
    <sheet name="Balance_Sheet_YearEnd" sheetId="11" state="visible" r:id="rId13"/>
    <sheet name="GL_TB_Reconstructed" sheetId="12" state="visible" r:id="rId14"/>
    <sheet name="AR_AP_Aging" sheetId="13" state="visible" r:id="rId15"/>
    <sheet name="Gross_Margin" sheetId="14" state="visible" r:id="rId16"/>
    <sheet name="Forecast_24_36mo" sheetId="15" state="visible" r:id="rId17"/>
    <sheet name="Debt_Schedule" sheetId="16" state="visible" r:id="rId18"/>
    <sheet name="Credit_Cards" sheetId="17" state="visible" r:id="rId19"/>
    <sheet name="Bank_Stmt_Index" sheetId="18" state="visible" r:id="rId20"/>
    <sheet name="Revenue_by_Channel"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<sst xmlns="http://schemas.openxmlformats.org/spreadsheetml/2006/main" count="606" uniqueCount="397">
  <si>
    <t xml:space="preserve">SPLT INC Due Diligence — Key Findings &amp; Methodology</t>
  </si>
  <si>
    <t xml:space="preserve">Founder loan — source of truth is the signed loan agreement</t>
  </si>
  <si>
    <t xml:space="preserve">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</si>
  <si>
    <t xml:space="preserve">No general ledger / accounting system exists</t>
  </si>
  <si>
    <t xml:space="preserve">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</si>
  <si>
    <t xml:space="preserve">Social Gear Media LLC lost money in 2025</t>
  </si>
  <si>
    <t xml:space="preserve">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</si>
  <si>
    <t xml:space="preserve">Entity transition timing</t>
  </si>
  <si>
    <t xml:space="preserve">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</si>
  <si>
    <t xml:space="preserve">2026 cash position is tight</t>
  </si>
  <si>
    <t xml:space="preserve">SPLT INC's bank-confirmed cash balance was $9,850.39 at 12/31/2025, dropping to as low as $91.04 (May 2025) and recovering only modestly through 2026. This is consistent with the burn/runway concern flagged earlier.</t>
  </si>
  <si>
    <t xml:space="preserve">Intercompany / personal transactions in bank feed</t>
  </si>
  <si>
    <t xml:space="preserve">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</si>
  <si>
    <t xml:space="preserve">STRUCTURAL CLARIFICATION: Social Gear Media LLC role</t>
  </si>
  <si>
    <t xml:space="preserve">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</si>
  <si>
    <t xml:space="preserve">2025 intercompany transfers QUANTIFIED (7/2/26 statement review)</t>
  </si>
  <si>
    <t xml:space="preserve">All eleven SPLT INC 2025 statements read line-by-line.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</si>
  <si>
    <t xml:space="preserve">Chukwuezugo $3,266.67 wire (4/2/25) RECLASSIFIED</t>
  </si>
  <si>
    <t xml:space="preserve">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</si>
  <si>
    <t xml:space="preserve">Commingling items to clean before submission</t>
  </si>
  <si>
    <t xml:space="preserve">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</si>
  <si>
    <t xml:space="preserve">Intercompany &amp; Related-Party Transactions — 2025 (Bank-Verified)</t>
  </si>
  <si>
    <t xml:space="preserve">Every SPLT INC statement Feb-Dec 2025 was read line-by-line (7/2/26 review). Below is the COMPLETE set of direct SPLT INC -&gt; Social Gear Media LLC transfers and other related-party items found.</t>
  </si>
  <si>
    <t xml:space="preserve">Date</t>
  </si>
  <si>
    <t xml:space="preserve">Item</t>
  </si>
  <si>
    <t xml:space="preserve">Direction</t>
  </si>
  <si>
    <t xml:space="preserve">Amount ($)</t>
  </si>
  <si>
    <t xml:space="preserve">Memo / Evidence</t>
  </si>
  <si>
    <t xml:space="preserve">7/9/2025</t>
  </si>
  <si>
    <t xml:space="preserve">Online transfer to Social Gear Media LLC</t>
  </si>
  <si>
    <t xml:space="preserve">SPLT -&gt; SGM</t>
  </si>
  <si>
    <t xml:space="preserve">"Business Checking Balance" — WF stmt 7/31/25</t>
  </si>
  <si>
    <t xml:space="preserve">11/10/2025</t>
  </si>
  <si>
    <t xml:space="preserve">"Business Checking Balance" — WF stmt 11/30/25</t>
  </si>
  <si>
    <t xml:space="preserve">12/18/2025</t>
  </si>
  <si>
    <t xml:space="preserve">IRS USATAXPYMT for "MR Social Gear Media" paid from SPLT account</t>
  </si>
  <si>
    <t xml:space="preserve">SPLT paid SGM obligation</t>
  </si>
  <si>
    <t xml:space="preserve">Commingling item — reimburse or book to intercompany</t>
  </si>
  <si>
    <t xml:space="preserve">11/20/2025 onward</t>
  </si>
  <si>
    <t xml:space="preserve">Shopify payout payor name changes to "Social Gear Media LLC," funds land in SPLT account</t>
  </si>
  <si>
    <t xml:space="preserve">SGM-named revenue -&gt; SPLT</t>
  </si>
  <si>
    <t xml:space="preserve">(various)</t>
  </si>
  <si>
    <t xml:space="preserve">Store registration under SGM name; payouts into SPLT — align Shopify legal entity to SPLT INC</t>
  </si>
  <si>
    <t xml:space="preserve">4/2/2025</t>
  </si>
  <si>
    <t xml:space="preserve">Incoming wire from Chukwuezugo Nwosu (Ally Bank)</t>
  </si>
  <si>
    <t xml:space="preserve">Related party -&gt; SPLT (REVENUE)</t>
  </si>
  <si>
    <t xml:space="preserve">RECLASSIFIED per management: purchase of SPLT product/services, NOT a loan. ACTION: issue/retain invoice; confirm accountant included it in 2025 tax revenue</t>
  </si>
  <si>
    <t xml:space="preserve">TOTAL direct SPLT -&gt; SGM transfers, FY2025</t>
  </si>
  <si>
    <t xml:space="preserve">FINDING — Contractor fee reality: total 2025 SPLT-&gt;SGM cash was $1,600 (~$160/mo over the Mar-Dec window), not $3,500/mo. A retroactive $3,500/mo + 10% agreement would imply ~$48K owed for 2025 — contradicting both the bank feed and the as-filed tax returns (SPLT filed +$9,850 NI with no such fee expense; SGM filed -$6,899 with no such fee income), and would create a ~$46K phantom related-party payable.</t>
  </si>
  <si>
    <t xml:space="preserve">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</si>
  <si>
    <t xml:space="preserve">Profit &amp; Loss — As-Filed Tax Basis (Authoritative Totals)</t>
  </si>
  <si>
    <t xml:space="preserve">Source: tax P&amp;L statements provided. These are the real, filed totals; monthly tabs allocate these totals using a methodology described there.</t>
  </si>
  <si>
    <t xml:space="preserve">Category</t>
  </si>
  <si>
    <t xml:space="preserve">Social Gear Media LLC
2024</t>
  </si>
  <si>
    <t xml:space="preserve">SPLT INC
2025</t>
  </si>
  <si>
    <t xml:space="preserve">Social Gear Media LLC
2025</t>
  </si>
  <si>
    <t xml:space="preserve">2025 Combined
(SPLT+SocialGear)</t>
  </si>
  <si>
    <t xml:space="preserve">Total Revenue</t>
  </si>
  <si>
    <t xml:space="preserve">Advertising</t>
  </si>
  <si>
    <t xml:space="preserve">Car and truck</t>
  </si>
  <si>
    <t xml:space="preserve">Commissions</t>
  </si>
  <si>
    <t xml:space="preserve">Contract labor</t>
  </si>
  <si>
    <t xml:space="preserve">Insurance</t>
  </si>
  <si>
    <t xml:space="preserve">Interest paid</t>
  </si>
  <si>
    <t xml:space="preserve">Legal and professional services</t>
  </si>
  <si>
    <t xml:space="preserve">Materials &amp; Supplies</t>
  </si>
  <si>
    <t xml:space="preserve">Meals</t>
  </si>
  <si>
    <t xml:space="preserve">Office expenses</t>
  </si>
  <si>
    <t xml:space="preserve">Other business expenses</t>
  </si>
  <si>
    <t xml:space="preserve">Rent and lease</t>
  </si>
  <si>
    <t xml:space="preserve">Travel expenses</t>
  </si>
  <si>
    <t xml:space="preserve">Utilities</t>
  </si>
  <si>
    <t xml:space="preserve">Uncategorized other expenses</t>
  </si>
  <si>
    <t xml:space="preserve">Total Expenses</t>
  </si>
  <si>
    <t xml:space="preserve">Net Income</t>
  </si>
  <si>
    <t xml:space="preserve">Profit &amp; Loss — Monthly (Reconstructed) — 2024</t>
  </si>
  <si>
    <t xml:space="preserve">Entity: Social Gear Media LLC (SPLT INC did not yet exist)  |  METHODOLOGY: monthly figures = as-filed annual tax total x (that month's Amazon channel gross sales / annual Amazon gross sales). This is a reconstruction proxy, not system-generated monthly books.</t>
  </si>
  <si>
    <t xml:space="preserve">Line Item</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</si>
  <si>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</si>
  <si>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</si>
  <si>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</si>
  <si>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</si>
  <si>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</si>
  <si>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</si>
  <si>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</si>
  <si>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</si>
  <si>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</si>
  <si>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</si>
  <si>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</si>
  <si>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</si>
  <si>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(tax-filed)</t>
  </si>
  <si>
    <t xml:space="preserve">Revenue</t>
  </si>
  <si>
    <t xml:space="preserve">Uncategorized other</t>
  </si>
  <si>
    <t xml:space="preserve">Profit &amp; Loss — Monthly (Reconstructed) — 2025 — SPLT INC</t>
  </si>
  <si>
    <t xml:space="preserve">Entity: SPLT INC. First confirmed SPLT bank statement: Feb 2025.  |  METHODOLOGY: monthly figures = as-filed annual tax total x (that month's Amazon channel gross sales / annual Amazon gross sales). This is a reconstruction proxy, not system-generated monthly books.</t>
  </si>
  <si>
    <t xml:space="preserve">Profit &amp; Loss — Monthly (Reconstructed) — 2025 — Social Gear Media LLC</t>
  </si>
  <si>
    <t xml:space="preserve">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</si>
  <si>
    <t xml:space="preserve">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</si>
  <si>
    <t xml:space="preserve">Cash Flow — Monthly — 2023 (Bank-Confirmed) — Social Gear Media LLC</t>
  </si>
  <si>
    <t xml:space="preserve">Entity: Social Gear Media LLC, Wells Fargo acct ...8625. Splitflask sales began October 2023. Only Q4 2023 statements provided as that is when business commenced.</t>
  </si>
  <si>
    <t xml:space="preserve">Month</t>
  </si>
  <si>
    <t xml:space="preserve">Beginning Cash</t>
  </si>
  <si>
    <t xml:space="preserve">Deposits/Credits</t>
  </si>
  <si>
    <t xml:space="preserve">Withdrawals/Debits</t>
  </si>
  <si>
    <t xml:space="preserve">Net Change</t>
  </si>
  <si>
    <t xml:space="preserve">Ending Cash</t>
  </si>
  <si>
    <t xml:space="preserve">Source</t>
  </si>
  <si>
    <t xml:space="preserve">Oct 2023</t>
  </si>
  <si>
    <t xml:space="preserve">WF stmt 10/31/23 (confirmed)</t>
  </si>
  <si>
    <t xml:space="preserve">Nov 2023</t>
  </si>
  <si>
    <t xml:space="preserve">WF stmt 11/30/23 (confirmed)</t>
  </si>
  <si>
    <t xml:space="preserve">Dec 2023</t>
  </si>
  <si>
    <t xml:space="preserve">WF stmt 12/31/23 (confirmed)</t>
  </si>
  <si>
    <t xml:space="preserve">NOTE: Oct 2023 beginning balance (24.04) reflects the account state before Splitflask product sales commenced. The account operated at minimal balance prior to first Shopify/Affirm deposits on 10/19/23.</t>
  </si>
  <si>
    <t xml:space="preserve">Cash Flow — Monthly — 2024 (Bank-Confirmed)</t>
  </si>
  <si>
    <t xml:space="preserve">Entity: Social Gear Media LLC, Wells Fargo acct ...8625. Deposits/withdrawals are TOTAL bank activity (includes intercompany transfers, loans, personal spend) — NOT equivalent to the P&amp;L tab, which uses tax-basis totals.</t>
  </si>
  <si>
    <t xml:space="preserve">WF stmt 1/31/24</t>
  </si>
  <si>
    <t xml:space="preserve">WF stmt 2/29/24 (confirmed - gap closed)</t>
  </si>
  <si>
    <t xml:space="preserve">WF stmt 3/31/24</t>
  </si>
  <si>
    <t xml:space="preserve">WF stmt 4/30/24</t>
  </si>
  <si>
    <t xml:space="preserve">WF stmt 5/31/24</t>
  </si>
  <si>
    <t xml:space="preserve">WF stmt 6/30/24</t>
  </si>
  <si>
    <t xml:space="preserve">WF stmt 7/31/24</t>
  </si>
  <si>
    <t xml:space="preserve">WF stmt 8/31/24</t>
  </si>
  <si>
    <t xml:space="preserve">WF stmt 9/30/24</t>
  </si>
  <si>
    <t xml:space="preserve">WF stmt 10/31/24</t>
  </si>
  <si>
    <t xml:space="preserve">WF stmt 11/30/24</t>
  </si>
  <si>
    <t xml:space="preserve">WF stmt 12/31/24 (confirmed - gap closed)</t>
  </si>
  <si>
    <t xml:space="preserve">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</si>
  <si>
    <t xml:space="preserve">Cash Flow — Monthly — 2025 (Bank-Confirmed) — SPLT INC</t>
  </si>
  <si>
    <t xml:space="preserve">Entity: SPLT INC, Wells Fargo acct ...0423. Deposits/withdrawals are TOTAL bank activity (includes founder loan advances/repayments, intercompany transfers) — NOT equivalent to the P&amp;L tab.</t>
  </si>
  <si>
    <t xml:space="preserve">n/a</t>
  </si>
  <si>
    <t xml:space="preserve">WF stmt not on file; shown as Feb-begin</t>
  </si>
  <si>
    <t xml:space="preserve">WF stmt 2/28/25</t>
  </si>
  <si>
    <t xml:space="preserve">WF stmt 3/31/25</t>
  </si>
  <si>
    <t xml:space="preserve">WF stmt 4/30/25</t>
  </si>
  <si>
    <t xml:space="preserve">WF stmt 5/31/25</t>
  </si>
  <si>
    <t xml:space="preserve">WF stmt 6/30/25</t>
  </si>
  <si>
    <t xml:space="preserve">WF stmt 7/31/25 (confirmed - gap closed)</t>
  </si>
  <si>
    <t xml:space="preserve">WF stmt 8/31/25</t>
  </si>
  <si>
    <t xml:space="preserve">WF stmt 9/30/25</t>
  </si>
  <si>
    <t xml:space="preserve">WF stmt 10/31/25</t>
  </si>
  <si>
    <t xml:space="preserve">WF stmt 11/30/25</t>
  </si>
  <si>
    <t xml:space="preserve">WF stmt 12/31/25</t>
  </si>
  <si>
    <t xml:space="preserve">Cash Flow — Monthly — 2026 YTD — SPLT INC</t>
  </si>
  <si>
    <t xml:space="preserve">Entity: SPLT INC, same account. Matches investor package figures.</t>
  </si>
  <si>
    <t xml:space="preserve">WF stmt 1/31/26</t>
  </si>
  <si>
    <t xml:space="preserve">WF stmt 2/28/26</t>
  </si>
  <si>
    <t xml:space="preserve">WF stmt 3/31/26</t>
  </si>
  <si>
    <t xml:space="preserve">WF stmt 4/30/26</t>
  </si>
  <si>
    <t xml:space="preserve">WF stmt 5/31/26</t>
  </si>
  <si>
    <t xml:space="preserve">Balance Sheet — Year-End Snapshots (Corrected)</t>
  </si>
  <si>
    <t xml:space="preserve">Cash = bank-confirmed. Inventory/Equipment/IP = management estimates from investor package (not independently appraised - see prior diligence note on patent valuation inconsistency). Founder loan CORRECTED to match signed loan agreement.</t>
  </si>
  <si>
    <t xml:space="preserve">12/31/2024
(Social Gear)</t>
  </si>
  <si>
    <t xml:space="preserve">12/31/2025
SPLT INC</t>
  </si>
  <si>
    <t xml:space="preserve">5/31/2026
SPLT INC (interim)</t>
  </si>
  <si>
    <t xml:space="preserve">Cash</t>
  </si>
  <si>
    <t xml:space="preserve">Inventory</t>
  </si>
  <si>
    <t xml:space="preserve">n/a - not tracked for Social Gear</t>
  </si>
  <si>
    <t xml:space="preserve">Equipment</t>
  </si>
  <si>
    <t xml:space="preserve">Furniture &amp; Warehouse Assets</t>
  </si>
  <si>
    <t xml:space="preserve">Patent Portfolio (mgmt estimate - SEE PRIOR FLAG re: $100K vs $2M inconsistency)</t>
  </si>
  <si>
    <t xml:space="preserve">TOTAL ASSETS (excl. unverified intangibles)</t>
  </si>
  <si>
    <t xml:space="preserve">Credit Card Balance</t>
  </si>
  <si>
    <t xml:space="preserve">unknown - statement now on file, not yet itemized here</t>
  </si>
  <si>
    <t xml:space="preserve">Founder Loan Payable — Arize Nwosu to SPLT INC (per signed loan agreement)</t>
  </si>
  <si>
    <t xml:space="preserve">n/a — pre-SPLT period</t>
  </si>
  <si>
    <t xml:space="preserve">Deferred Revenue (Kickstarter, 13% fulfilled)</t>
  </si>
  <si>
    <t xml:space="preserve">TOTAL LIABILITIES (corrected)</t>
  </si>
  <si>
    <t xml:space="preserve">Family Loan Payable — Chukwuezugo Nwosu to SOCIAL GEAR MEDIA LLC only (NOT a SPLT INC obligation — retroactive promissory note needed)</t>
  </si>
  <si>
    <t xml:space="preserve">NET EQUITY (Assets - Liabilities)</t>
  </si>
  <si>
    <t xml:space="preserve">NOTE: Row 15 family loan is a SOCIAL GEAR MEDIA LLC liability, shown for related-party disclosure only — it is EXCLUDED from SPLT INC totals. Credit card balance of $22,060 is as of the most recent statement on file and repeated for 5/31/26 pending a current statement — refresh before submission.</t>
  </si>
  <si>
    <t xml:space="preserve">Trial Balance — Reconstructed (Not System-Generated)</t>
  </si>
  <si>
    <t xml:space="preserve">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</si>
  <si>
    <t xml:space="preserve">Account</t>
  </si>
  <si>
    <t xml:space="preserve">12/31/2025 SPLT INC</t>
  </si>
  <si>
    <t xml:space="preserve">5/31/2026 SPLT INC (YTD)</t>
  </si>
  <si>
    <t xml:space="preserve">Patent Portfolio (mgmt est.)</t>
  </si>
  <si>
    <t xml:space="preserve">Credit Card Payable</t>
  </si>
  <si>
    <t xml:space="preserve">Deferred Revenue - Kickstarter</t>
  </si>
  <si>
    <t xml:space="preserve">Revenue YTD (tax basis)</t>
  </si>
  <si>
    <t xml:space="preserve">Expenses YTD (tax basis)</t>
  </si>
  <si>
    <t xml:space="preserve">MEMO ONLY — Family Loan (Chukwuezugo Nwosu) is a SOCIAL GEAR MEDIA LLC liability, NOT a SPLT INC account. Excluded from SPLT trial balance totals below; disclosed for related-party completeness.</t>
  </si>
  <si>
    <t xml:space="preserve">(4,000 — SGM books)</t>
  </si>
  <si>
    <t xml:space="preserve">Owner's Equity (plug — reconstructed TB)</t>
  </si>
  <si>
    <t xml:space="preserve">TB CHECK (should be 0)</t>
  </si>
  <si>
    <t xml:space="preserve">Equity is a balancing plug, standard for a reconstructed TB with no ledger system. 5/31/26 column is balance-sheet-only (no YTD 2026 tax P&amp;L exists yet); 2026 YTD activity is captured on the bank-confirmed CF_Monthly_2026YTD_SPLT tab.</t>
  </si>
  <si>
    <t xml:space="preserve">A/R and A/P Aging — 12/31/2023, 12/31/2024, 12/31/2025, YTD 2026 (5/31/26)</t>
  </si>
  <si>
    <t xml:space="preserve">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</si>
  <si>
    <t xml:space="preserve">Entity</t>
  </si>
  <si>
    <t xml:space="preserve">12/31/2023</t>
  </si>
  <si>
    <t xml:space="preserve">12/31/2024</t>
  </si>
  <si>
    <t xml:space="preserve">12/31/2025</t>
  </si>
  <si>
    <t xml:space="preserve">YTD 2026 (5/31/26)</t>
  </si>
  <si>
    <t xml:space="preserve">ACCOUNTS RECEIVABLE</t>
  </si>
  <si>
    <t xml:space="preserve">Trade A/R (invoiced customers)</t>
  </si>
  <si>
    <t xml:space="preserve">SPLT / SGM</t>
  </si>
  <si>
    <t xml:space="preserve">Marketplace payouts in transit (est. &lt;14 days sales)</t>
  </si>
  <si>
    <t xml:space="preserve">not tracked</t>
  </si>
  <si>
    <t xml:space="preserve">ACCOUNTS PAYABLE &amp; AP-LIKE OBLIGATIONS</t>
  </si>
  <si>
    <t xml:space="preserve">Trade A/P (vendor bills on terms)</t>
  </si>
  <si>
    <t xml:space="preserve">Credit card payable (aggregate)</t>
  </si>
  <si>
    <t xml:space="preserve">SPLT INC</t>
  </si>
  <si>
    <t xml:space="preserve">unknown</t>
  </si>
  <si>
    <t xml:space="preserve">Kickstarter deferred revenue (fulfillment obligation)</t>
  </si>
  <si>
    <t xml:space="preserve">—</t>
  </si>
  <si>
    <t xml:space="preserve">Founder loan payable — Arize Nwosu (per signed Revolving Loan Agreement)</t>
  </si>
  <si>
    <t xml:space="preserve">Family loan payable — Chukwuezugo Nwosu (SGM entity only; disclosure)</t>
  </si>
  <si>
    <t xml:space="preserve">Social Gear Media LLC</t>
  </si>
  <si>
    <t xml:space="preserve">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</si>
  <si>
    <t xml:space="preserve">Gross Margin Analysis</t>
  </si>
  <si>
    <t xml:space="preserve">COGS proxy = 'Materials &amp; Supplies' tax category, the closest available line to true COGS. Other costs (fulfillment, ad spend) are NOT included in this COGS proxy - true contribution margin is lower than shown.</t>
  </si>
  <si>
    <t xml:space="preserve">Metric</t>
  </si>
  <si>
    <t xml:space="preserve">2024 Social Gear</t>
  </si>
  <si>
    <t xml:space="preserve">2025 SPLT INC</t>
  </si>
  <si>
    <t xml:space="preserve">2025 Social Gear</t>
  </si>
  <si>
    <t xml:space="preserve">COGS proxy (Materials &amp; Supplies)</t>
  </si>
  <si>
    <t xml:space="preserve">Gross Profit</t>
  </si>
  <si>
    <t xml:space="preserve">Gross Margin %</t>
  </si>
  <si>
    <t xml:space="preserve">24–36 Month Forecast — SPLT INC</t>
  </si>
  <si>
    <t xml:space="preserve">Anchored to ACTUAL 2026 YTD run rate (Jan-May), not assumptions pulled from thin air. Adjust the blue assumption cells to test scenarios.</t>
  </si>
  <si>
    <t xml:space="preserve">ASSUMPTIONS (editable)</t>
  </si>
  <si>
    <t xml:space="preserve">Starting monthly cash inflow (avg 2026 YTD deposits)</t>
  </si>
  <si>
    <t xml:space="preserve">Starting monthly cash outflow (avg 2026 YTD withdrawals)</t>
  </si>
  <si>
    <t xml:space="preserve">Monthly inflow growth %</t>
  </si>
  <si>
    <t xml:space="preserve">Monthly outflow growth %</t>
  </si>
  <si>
    <t xml:space="preserve">NOTE: assumption cells B5:B8 are editable (blue). B5/B6 are 2026 YTD Jan-May actual averages.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</si>
  <si>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</si>
  <si>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</si>
  <si>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</si>
  <si>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</si>
  <si>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</si>
  <si>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</si>
  <si>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</si>
  <si>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</si>
  <si>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</si>
  <si>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</si>
  <si>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</si>
  <si>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</si>
  <si>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</si>
  <si>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</si>
  <si>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</si>
  <si>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</si>
  <si>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</si>
  <si>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</si>
  <si>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</si>
  <si>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</si>
  <si>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</si>
  <si>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</si>
  <si>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</si>
  <si>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</si>
  <si>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</si>
  <si>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</si>
  <si>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</si>
  <si>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</si>
  <si>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</si>
  <si>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</si>
  <si>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</si>
  <si>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</si>
  <si>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</si>
  <si>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</si>
  <si>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</si>
  <si>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</si>
  <si>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Cash In (forecast)</t>
  </si>
  <si>
    <t xml:space="preserve">Cash Out (forecast)</t>
  </si>
  <si>
    <t xml:space="preserve">Net Cash Flow</t>
  </si>
  <si>
    <t xml:space="preserve">Cumulative Cash (start: $3,571.86)</t>
  </si>
  <si>
    <t xml:space="preserve">Cash &lt; $0 flag</t>
  </si>
  <si>
    <t xml:space="preserve">BURN &amp; RUNWAY SUMMARY (lender checklist items)</t>
  </si>
  <si>
    <t xml:space="preserve">Monthly cash burn rate (2026 YTD actual, bank-confirmed: avg outflow - avg inflow)</t>
  </si>
  <si>
    <t xml:space="preserve">Cash on hand, 5/31/2026 (bank-confirmed)</t>
  </si>
  <si>
    <t xml:space="preserve">Runway at current burn (months)</t>
  </si>
  <si>
    <t xml:space="preserve">Base-case forecast: months until cash goes below $0</t>
  </si>
  <si>
    <t xml:space="preserve">READ THIS BEFORE PRESENTING: the burn rate uses RAW bank flows, which include founder loan advances/repayments in both directions — it is a cash-reality number, not an operating-P&amp;L number. Runway of ~2.8 months means the plan REQUIRES either the raise closing, founder advances continuing, or a step-change in sales. Do not present the 2%/1% growth base case as self-funding: cumulative cash goes negative at M3 and the model only recovers via assumed growth. A lender will test exactly this.</t>
  </si>
  <si>
    <t xml:space="preserve">Debt Agreements &amp; Schedules — SPLT INC (+ related-party disclosure)</t>
  </si>
  <si>
    <t xml:space="preserve">Creditor / Facility</t>
  </si>
  <si>
    <t xml:space="preserve">Type &amp; Documentation</t>
  </si>
  <si>
    <t xml:space="preserve">Original Amount</t>
  </si>
  <si>
    <t xml:space="preserve">Balance (latest)</t>
  </si>
  <si>
    <t xml:space="preserve">Interest Rate</t>
  </si>
  <si>
    <t xml:space="preserve">Payment Terms</t>
  </si>
  <si>
    <t xml:space="preserve">Security / Notes</t>
  </si>
  <si>
    <t xml:space="preserve">Arize Nwosu (Founder) — Revolving Loan &amp; Officer Advance Agreement</t>
  </si>
  <si>
    <t xml:space="preserve">Signed agreement effective 6/30/2026; Exhibit A ledger: advances $66,587, repayments $52,708</t>
  </si>
  <si>
    <t xml:space="preserve">Per signed agreement</t>
  </si>
  <si>
    <t xml:space="preserve">Revolving; repaid from available cash</t>
  </si>
  <si>
    <t xml:space="preserve">Documented. 12/31/25 balance was $25,287 before 2026 repayments</t>
  </si>
  <si>
    <t xml:space="preserve">Credit cards (aggregate — see Credit_Cards tab)</t>
  </si>
  <si>
    <t xml:space="preserve">Revolving consumer/business cards; itemization pending current statements</t>
  </si>
  <si>
    <t xml:space="preserve">SPLT INC / officer</t>
  </si>
  <si>
    <t xml:space="preserve">Per card — see Credit_Cards tab</t>
  </si>
  <si>
    <t xml:space="preserve">Monthly minimums; autopay history irregular (see notes)</t>
  </si>
  <si>
    <t xml:space="preserve">Unsecured. Bounced Chase autopays Aug-Dec 2025 visible in bank feed — prepare explanation before lender review</t>
  </si>
  <si>
    <t xml:space="preserve">Santander facility (identity TBD)</t>
  </si>
  <si>
    <t xml:space="preserve">ACH "Santander BILLPAY" debits from SPLT account: $1,402.57 (9/16/25), $1,367.57 (12/17/25)</t>
  </si>
  <si>
    <t xml:space="preserve">TBD — confirm</t>
  </si>
  <si>
    <t xml:space="preserve">~$1,400 periodic ACH</t>
  </si>
  <si>
    <t xml:space="preserve">ACTION: identify facility (auto loan? card?) and add agreement to data room</t>
  </si>
  <si>
    <t xml:space="preserve">Chukwuezugo Nwosu — family loan</t>
  </si>
  <si>
    <t xml:space="preserve">Undocumented; retroactive promissory note recommended</t>
  </si>
  <si>
    <t xml:space="preserve">Social Gear Media LLC (NOT SPLT INC)</t>
  </si>
  <si>
    <t xml:space="preserve">None stated</t>
  </si>
  <si>
    <t xml:space="preserve">None stated; $25,000 repaid 12/26/24 by wire</t>
  </si>
  <si>
    <t xml:space="preserve">Unsecured. Related-party disclosure only — not a SPLT INC obligation</t>
  </si>
  <si>
    <t xml:space="preserve">TOTAL SPLT INC DEBT (founder loan + credit cards)</t>
  </si>
  <si>
    <t xml:space="preserve">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</si>
  <si>
    <t xml:space="preserve">Credit Card Debt — Rates &amp; Pay-Down Plan</t>
  </si>
  <si>
    <t xml:space="preserve">Aggregate balance of $22,060 confirmed as of the most recent statement on file. Per-card balances and APRs must be pulled from current card statements — YELLOW cells are required inputs. Cards identified from the SPLT bank feed: Chase (regular e-pays; autopay attempts of $5.9K-$12.5K returned unpaid monthly Aug-Dec 2025), American Express ($1,235.00 fixed ACH monthly — pattern suggests a payment plan).</t>
  </si>
  <si>
    <t xml:space="preserve">Card</t>
  </si>
  <si>
    <t xml:space="preserve">Balance ($)</t>
  </si>
  <si>
    <t xml:space="preserve">APR (enter from stmt)</t>
  </si>
  <si>
    <t xml:space="preserve">Planned Monthly Payment ($)</t>
  </si>
  <si>
    <t xml:space="preserve">Est. Months to Payoff</t>
  </si>
  <si>
    <t xml:space="preserve">Total Interest (est.)</t>
  </si>
  <si>
    <t xml:space="preserve">Notes</t>
  </si>
  <si>
    <t xml:space="preserve">Chase (Arize Nwosu)</t>
  </si>
  <si>
    <t xml:space="preserve">Autopay returns Aug-Dec 2025 — have explanation ready</t>
  </si>
  <si>
    <t xml:space="preserve">American Express</t>
  </si>
  <si>
    <t xml:space="preserve">$1,235.00/mo fixed ACH observed Sep/Oct/Dec 2025 — confirm if payment plan</t>
  </si>
  <si>
    <t xml:space="preserve">Other (add per statements)</t>
  </si>
  <si>
    <t xml:space="preserve">TOTAL</t>
  </si>
  <si>
    <t xml:space="preserve">Check vs. confirmed aggregate ($22,060)</t>
  </si>
  <si>
    <t xml:space="preserve">PAY-DOWN REALITY CHECK: at the current -$1,256/mo operating burn, SPLT cannot fund card paydown from operations. The credible plan for a lender is: (1) minimums only until close, (2) allocate a defined slice of raise proceeds to retire the highest-APR card first (avalanche), (3) stop routing officer personal spend through cards used for business. Placeholder balances/APRs above (blue) are illustrative splits of the $22,060 — REPLACE with actual statement values before any submission.</t>
  </si>
  <si>
    <t xml:space="preserve">Bank Statement Index — coverage for the "6-12 months of bank statements" request</t>
  </si>
  <si>
    <t xml:space="preserve">Period Covered</t>
  </si>
  <si>
    <t xml:space="preserve">Status</t>
  </si>
  <si>
    <t xml:space="preserve">WF ...8625</t>
  </si>
  <si>
    <t xml:space="preserve">Sep-Dec 2023 (business commenced Oct 2023)</t>
  </si>
  <si>
    <t xml:space="preserve">On file, confirmed</t>
  </si>
  <si>
    <t xml:space="preserve">Jan-Dec 2024 (full year)</t>
  </si>
  <si>
    <t xml:space="preserve">2025 monthly</t>
  </si>
  <si>
    <t xml:space="preserve">Partially on file — confirm full-year set in data room</t>
  </si>
  <si>
    <t xml:space="preserve">WF ...0423</t>
  </si>
  <si>
    <t xml:space="preserve">Feb 2025 - Dec 2025 (account opened 1/28/25; no Jan stmt exists)</t>
  </si>
  <si>
    <t xml:space="preserve">On file, confirmed — every month read line-by-line in this review</t>
  </si>
  <si>
    <t xml:space="preserve">Jan 2026 - May 2026</t>
  </si>
  <si>
    <t xml:space="preserve">Jun 2026</t>
  </si>
  <si>
    <t xml:space="preserve">Pending — add when issued (~7/1/26)</t>
  </si>
  <si>
    <t xml:space="preserve">Trailing-12-months (Jun 2025 - May 2026) for the operating entity SPLT INC: COMPLETE. Lender checklist item satisfied. Chase statement + additional WF PDFs also in data room folder.</t>
  </si>
  <si>
    <t xml:space="preserve">SPLT INC — Revenue by Channel / Year (All Sources)</t>
  </si>
  <si>
    <t xml:space="preserve">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</si>
  <si>
    <t xml:space="preserve">Channel</t>
  </si>
  <si>
    <t xml:space="preserve">2024 (Social Gear)</t>
  </si>
  <si>
    <t xml:space="preserve">2025 (SPLT INC)</t>
  </si>
  <si>
    <t xml:space="preserve">2025 (Social Gear)</t>
  </si>
  <si>
    <t xml:space="preserve">2026 YTD (Apr)</t>
  </si>
  <si>
    <t xml:space="preserve">Amazon US (gross sales)</t>
  </si>
  <si>
    <t xml:space="preserve">Hard data — monthly confirmed from Amazon Seller Central export</t>
  </si>
  <si>
    <t xml:space="preserve">Shopify / DTC</t>
  </si>
  <si>
    <t xml:space="preserve">2024/2025 = residual (total tax revenue minus Amazon); 2026 = Shopify monthly export confirmed</t>
  </si>
  <si>
    <t xml:space="preserve">Von Maur (EDI wholesale)</t>
  </si>
  <si>
    <t xml:space="preserve">Social Gear</t>
  </si>
  <si>
    <t xml:space="preserve">Single EDI payment 12/10/2024 — $7,200; appears once in bank, no other Von Maur payments found</t>
  </si>
  <si>
    <t xml:space="preserve">Best Buy (via Mirakl)</t>
  </si>
  <si>
    <t xml:space="preserve">Live since Dec 2025. Gross order amounts from transaction log. Very nascent channel — combined since launch &lt; $800</t>
  </si>
  <si>
    <t xml:space="preserve">Walmart.com (via Mirakl)</t>
  </si>
  <si>
    <t xml:space="preserve">Live since Dec 2025. Net amounts transferred to store from billing log. Nascent — parallel launch with Best Buy</t>
  </si>
  <si>
    <t xml:space="preserve">TikTok Shop</t>
  </si>
  <si>
    <t xml:space="preserve">Merchant statement covers Dec 2025 - Mar 2026: gross $599.52, net income $542.07. Platform labeled Sharper Image in merchant portal but this is TikTok Shop. Pre-2026 TikTok deposits visible in bank feed but not separately quantified here.</t>
  </si>
  <si>
    <t xml:space="preserve">Kuwait International (wire)</t>
  </si>
  <si>
    <t xml:space="preserve">Confirmed: NBK wire from Fadi Ibrahim Mohammad Altayan, 11/11/2025, $1,410.21 USD, ref MOB0046X0B. Matches international distributor channel from unit economics.</t>
  </si>
  <si>
    <t xml:space="preserve">Amazon Singapore</t>
  </si>
  <si>
    <t xml:space="preserve">2025 full year + 2026 YTD from dashboard. USD amounts.</t>
  </si>
  <si>
    <t xml:space="preserve">Amazon Australia (converted to USD)</t>
  </si>
  <si>
    <t xml:space="preserve">Converted from AUD. 2025: A$2,369.15 x 0.6451 (2025 annual avg AUD/USD per exchange-rates.org) = $1,528 USD. 2026 YTD: A$968.28 x 0.6300 (conservative Jan-Apr 2026 avg; AUD started 2026 weak at 0.6678 on Jan 1, recovered later in year) = $610 USD.</t>
  </si>
  <si>
    <t xml:space="preserve">Walmart.com / Macy's (SG channels)</t>
  </si>
  <si>
    <t xml:space="preserve">2025 Social Gear entity revenue per tax filing. These channels run through Social Gear, not SPLT INC.</t>
  </si>
  <si>
    <t xml:space="preserve">TOTAL — SPLT INC Channels Only</t>
  </si>
  <si>
    <t xml:space="preserve">All figures in USD. Amazon AUS converted at period-average AUD/USD rates (2025: 0.6451; 2026 Q1: 0.6300). TikTok Shop pre-2026 not separately quantified.</t>
  </si>
  <si>
    <t xml:space="preserve">NEW CHANNELS DISCOVERED IN THIS DILIGENCE REVIEW (not in prior investor package):</t>
  </si>
  <si>
    <t xml:space="preserve">  • Best Buy (Mirakl) — live Dec 2025, $799 gross since launch</t>
  </si>
  <si>
    <t xml:space="preserve">  • Walmart.com (Mirakl) — live Dec 2025, $969 net since launch</t>
  </si>
  <si>
    <t xml:space="preserve">  • TikTok Shop — Dec 2025 - Mar 2026, $599 gross (statement confirmed)</t>
  </si>
  <si>
    <t xml:space="preserve">  • Amazon Singapore — 2025 $855 USD, growing in 2026</t>
  </si>
  <si>
    <t xml:space="preserve">  • Amazon Australia — 2025 A$2,369 converted to $1,528 USD (rate: 0.6451); 2026 YTD A$968 = $610 USD (rate: 0.6300)</t>
  </si>
  <si>
    <t xml:space="preserve">  • Kuwait international wire — $1,410.21 confirmed via NBK bank wire 11/11/2025</t>
  </si>
  <si>
    <t xml:space="preserve">  • Von Maur EDI — $7,200 single wholesale payment in Dec 2024 (Social Gear entity)</t>
  </si>
  <si>
    <t xml:space="preserve">REVENUE BY CUSTOMER — individually identifiable customers (all other revenue is anonymous marketplace/DTC volume)</t>
  </si>
  <si>
    <t xml:space="preserve">Customer</t>
  </si>
  <si>
    <t xml:space="preserve">Year</t>
  </si>
  <si>
    <t xml:space="preserve">Evidence</t>
  </si>
  <si>
    <t xml:space="preserve">2024</t>
  </si>
  <si>
    <t xml:space="preserve">Single EDI payment 12/10/24 — Social Gear entity</t>
  </si>
  <si>
    <t xml:space="preserve">Everything Kitchen Pty Ltd (Australia)</t>
  </si>
  <si>
    <t xml:space="preserve">2025</t>
  </si>
  <si>
    <t xml:space="preserve">Intl wire 2/24/25, National Australia Bank — WF stmt</t>
  </si>
  <si>
    <t xml:space="preserve">Chukwuezugo Nwosu (RELATED PARTY — product/service purchase)</t>
  </si>
  <si>
    <t xml:space="preserve">Wire 4/2/25 via Ally Bank. Needs invoice on file; confirm included in tax revenue</t>
  </si>
  <si>
    <t xml:space="preserve">Waen Inc. (Japan)</t>
  </si>
  <si>
    <t xml:space="preserve">Intl wire 6/6/25, Chiba Bank — WF stmt</t>
  </si>
  <si>
    <t xml:space="preserve">Citiesocial Co. Ltd (Taiwan)</t>
  </si>
  <si>
    <t xml:space="preserve">Intl wire 11/6/25, Cathay United Bank — WF stmt</t>
  </si>
  <si>
    <t xml:space="preserve">Fadi Ibrahim Mohammad Altayan (Kuwait distributor)</t>
  </si>
  <si>
    <t xml:space="preserve">Intl wire 11/12/25, National Bank of Kuwait — WF stmt</t>
  </si>
  <si>
    <t xml:space="preserve">2025 (Dec)</t>
  </si>
  <si>
    <t xml:space="preserve">Intl wire 12/11/25, Cathay United Bank — WF stmt (2nd order — repeat customer)</t>
  </si>
  <si>
    <t xml:space="preserve">All other revenue = anonymous end-consumers via Amazon (US/CA/MX/SG/AU), Shopify DTC, TikTok Shop, Best Buy, Walmart.com, Macys.com — no customer-level identity exists on these channels; channel = customer for reporting purposes.</t>
  </si>
</sst>
</file>

<file path=xl/styles.xml><?xml version="1.0" encoding="utf-8"?>
<styleSheet xmlns="http://schemas.openxmlformats.org/spreadsheetml/2006/main">
  <numFmts count="4">
    <numFmt numFmtId="164" formatCode="General"/>
    <numFmt numFmtId="165" formatCode="\$#,##0;&quot;($&quot;#,##0\)"/>
    <numFmt numFmtId="166" formatCode="\$#,##0;&quot;($&quot;#,##0\)"/>
    <numFmt numFmtId="167" formatCode="0.0%"/>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5"/>
      <name val="Arial"/>
      <family val="0"/>
      <charset val="1"/>
    </font>
    <font>
      <b val="true"/>
      <sz val="11"/>
      <name val="Cambria"/>
      <family val="0"/>
      <charset val="1"/>
    </font>
    <font>
      <b val="true"/>
      <sz val="14"/>
      <name val="Cambria"/>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0"/>
      <color rgb="FF9C0006"/>
      <name val="Arial"/>
      <family val="0"/>
      <charset val="1"/>
    </font>
    <font>
      <i val="true"/>
      <sz val="11"/>
      <color rgb="FF9C0006"/>
      <name val="Arial"/>
      <family val="0"/>
      <charset val="1"/>
    </font>
    <font>
      <sz val="11"/>
      <color rgb="FF9C0006"/>
      <name val="Arial"/>
      <family val="0"/>
      <charset val="1"/>
    </font>
    <font>
      <sz val="11"/>
      <color rgb="FF0000FF"/>
      <name val="Cambria"/>
      <family val="0"/>
      <charset val="1"/>
    </font>
    <font>
      <b val="true"/>
      <sz val="9"/>
      <color rgb="FF9C0006"/>
      <name val="Arial"/>
      <family val="0"/>
      <charset val="1"/>
    </font>
    <font>
      <b val="true"/>
      <sz val="11"/>
      <color rgb="FF1F4E78"/>
      <name val="Arial"/>
      <family val="0"/>
      <charset val="1"/>
    </font>
  </fonts>
  <fills count="8">
    <fill>
      <patternFill patternType="none"/>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1F4E78"/>
        <bgColor rgb="FF003366"/>
      </patternFill>
    </fill>
    <fill>
      <patternFill patternType="solid">
        <fgColor rgb="FFBDD7EE"/>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6"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5" fontId="5" fillId="6"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6" fontId="15" fillId="3" borderId="1" xfId="0" applyFont="tru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7" fontId="5" fillId="6" borderId="0" xfId="0" applyFont="true" applyBorder="false" applyAlignment="true" applyProtection="false">
      <alignment horizontal="general" vertical="bottom" textRotation="0" wrapText="false" indent="0" shrinkToFit="false"/>
      <protection locked="true" hidden="false"/>
    </xf>
    <xf numFmtId="165" fontId="16" fillId="7" borderId="0" xfId="0" applyFont="true" applyBorder="false" applyAlignment="true" applyProtection="false">
      <alignment horizontal="general" vertical="bottom" textRotation="0" wrapText="false" indent="0" shrinkToFit="false"/>
      <protection locked="true" hidden="false"/>
    </xf>
    <xf numFmtId="167" fontId="16" fillId="7"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6" fillId="7"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8" min="2" style="1" width="14"/>
  </cols>
  <sheetData>
    <row r="1" customFormat="false" ht="17.25" hidden="false" customHeight="true" outlineLevel="0" collapsed="false">
      <c r="A1" s="2" t="s">
        <v>0</v>
      </c>
    </row>
    <row r="4" customFormat="false" ht="15" hidden="false" customHeight="true" outlineLevel="0" collapsed="false">
      <c r="A4" s="3" t="s">
        <v>1</v>
      </c>
      <c r="B4" s="3"/>
      <c r="C4" s="3"/>
      <c r="D4" s="3"/>
      <c r="E4" s="3"/>
      <c r="F4" s="3"/>
      <c r="G4" s="3"/>
      <c r="H4" s="3"/>
    </row>
    <row r="5" customFormat="false" ht="45" hidden="false" customHeight="true" outlineLevel="0" collapsed="false">
      <c r="A5" s="4" t="s">
        <v>2</v>
      </c>
      <c r="B5" s="4"/>
      <c r="C5" s="4"/>
      <c r="D5" s="4"/>
      <c r="E5" s="4"/>
      <c r="F5" s="4"/>
      <c r="G5" s="4"/>
      <c r="H5" s="4"/>
    </row>
    <row r="6" customFormat="false" ht="15" hidden="false" customHeight="true" outlineLevel="0" collapsed="false">
      <c r="A6" s="4"/>
      <c r="B6" s="4"/>
      <c r="C6" s="4"/>
      <c r="D6" s="4"/>
      <c r="E6" s="4"/>
      <c r="F6" s="4"/>
      <c r="G6" s="4"/>
      <c r="H6" s="4"/>
    </row>
    <row r="8" customFormat="false" ht="15" hidden="false" customHeight="true" outlineLevel="0" collapsed="false">
      <c r="A8" s="5" t="s">
        <v>3</v>
      </c>
      <c r="B8" s="5"/>
      <c r="C8" s="5"/>
      <c r="D8" s="5"/>
      <c r="E8" s="5"/>
      <c r="F8" s="5"/>
      <c r="G8" s="5"/>
      <c r="H8" s="5"/>
    </row>
    <row r="9" customFormat="false" ht="45" hidden="false" customHeight="true" outlineLevel="0" collapsed="false">
      <c r="A9" s="4" t="s">
        <v>4</v>
      </c>
      <c r="B9" s="4"/>
      <c r="C9" s="4"/>
      <c r="D9" s="4"/>
      <c r="E9" s="4"/>
      <c r="F9" s="4"/>
      <c r="G9" s="4"/>
      <c r="H9" s="4"/>
    </row>
    <row r="10" customFormat="false" ht="15" hidden="false" customHeight="true" outlineLevel="0" collapsed="false">
      <c r="A10" s="4"/>
      <c r="B10" s="4"/>
      <c r="C10" s="4"/>
      <c r="D10" s="4"/>
      <c r="E10" s="4"/>
      <c r="F10" s="4"/>
      <c r="G10" s="4"/>
      <c r="H10" s="4"/>
    </row>
    <row r="12" customFormat="false" ht="15" hidden="false" customHeight="true" outlineLevel="0" collapsed="false">
      <c r="A12" s="5" t="s">
        <v>5</v>
      </c>
      <c r="B12" s="5"/>
      <c r="C12" s="5"/>
      <c r="D12" s="5"/>
      <c r="E12" s="5"/>
      <c r="F12" s="5"/>
      <c r="G12" s="5"/>
      <c r="H12" s="5"/>
    </row>
    <row r="13" customFormat="false" ht="45" hidden="false" customHeight="true" outlineLevel="0" collapsed="false">
      <c r="A13" s="4" t="s">
        <v>6</v>
      </c>
      <c r="B13" s="4"/>
      <c r="C13" s="4"/>
      <c r="D13" s="4"/>
      <c r="E13" s="4"/>
      <c r="F13" s="4"/>
      <c r="G13" s="4"/>
      <c r="H13" s="4"/>
    </row>
    <row r="14" customFormat="false" ht="15" hidden="false" customHeight="true" outlineLevel="0" collapsed="false">
      <c r="A14" s="4"/>
      <c r="B14" s="4"/>
      <c r="C14" s="4"/>
      <c r="D14" s="4"/>
      <c r="E14" s="4"/>
      <c r="F14" s="4"/>
      <c r="G14" s="4"/>
      <c r="H14" s="4"/>
    </row>
    <row r="16" customFormat="false" ht="15" hidden="false" customHeight="true" outlineLevel="0" collapsed="false">
      <c r="A16" s="5" t="s">
        <v>7</v>
      </c>
      <c r="B16" s="5"/>
      <c r="C16" s="5"/>
      <c r="D16" s="5"/>
      <c r="E16" s="5"/>
      <c r="F16" s="5"/>
      <c r="G16" s="5"/>
      <c r="H16" s="5"/>
    </row>
    <row r="17" customFormat="false" ht="45" hidden="false" customHeight="true" outlineLevel="0" collapsed="false">
      <c r="A17" s="4" t="s">
        <v>8</v>
      </c>
      <c r="B17" s="4"/>
      <c r="C17" s="4"/>
      <c r="D17" s="4"/>
      <c r="E17" s="4"/>
      <c r="F17" s="4"/>
      <c r="G17" s="4"/>
      <c r="H17" s="4"/>
    </row>
    <row r="18" customFormat="false" ht="15" hidden="false" customHeight="true" outlineLevel="0" collapsed="false">
      <c r="A18" s="4"/>
      <c r="B18" s="4"/>
      <c r="C18" s="4"/>
      <c r="D18" s="4"/>
      <c r="E18" s="4"/>
      <c r="F18" s="4"/>
      <c r="G18" s="4"/>
      <c r="H18" s="4"/>
    </row>
    <row r="20" customFormat="false" ht="15" hidden="false" customHeight="true" outlineLevel="0" collapsed="false">
      <c r="A20" s="5" t="s">
        <v>9</v>
      </c>
      <c r="B20" s="5"/>
      <c r="C20" s="5"/>
      <c r="D20" s="5"/>
      <c r="E20" s="5"/>
      <c r="F20" s="5"/>
      <c r="G20" s="5"/>
      <c r="H20" s="5"/>
    </row>
    <row r="21" customFormat="false" ht="45" hidden="false" customHeight="true" outlineLevel="0" collapsed="false">
      <c r="A21" s="4" t="s">
        <v>10</v>
      </c>
      <c r="B21" s="4"/>
      <c r="C21" s="4"/>
      <c r="D21" s="4"/>
      <c r="E21" s="4"/>
      <c r="F21" s="4"/>
      <c r="G21" s="4"/>
      <c r="H21" s="4"/>
    </row>
    <row r="22" customFormat="false" ht="15" hidden="false" customHeight="true" outlineLevel="0" collapsed="false">
      <c r="A22" s="4"/>
      <c r="B22" s="4"/>
      <c r="C22" s="4"/>
      <c r="D22" s="4"/>
      <c r="E22" s="4"/>
      <c r="F22" s="4"/>
      <c r="G22" s="4"/>
      <c r="H22" s="4"/>
    </row>
    <row r="24" customFormat="false" ht="15" hidden="false" customHeight="true" outlineLevel="0" collapsed="false">
      <c r="A24" s="5" t="s">
        <v>11</v>
      </c>
      <c r="B24" s="5"/>
      <c r="C24" s="5"/>
      <c r="D24" s="5"/>
      <c r="E24" s="5"/>
      <c r="F24" s="5"/>
      <c r="G24" s="5"/>
      <c r="H24" s="5"/>
    </row>
    <row r="25" customFormat="false" ht="45" hidden="false" customHeight="true" outlineLevel="0" collapsed="false">
      <c r="A25" s="4" t="s">
        <v>12</v>
      </c>
      <c r="B25" s="4"/>
      <c r="C25" s="4"/>
      <c r="D25" s="4"/>
      <c r="E25" s="4"/>
      <c r="F25" s="4"/>
      <c r="G25" s="4"/>
      <c r="H25" s="4"/>
    </row>
    <row r="26" customFormat="false" ht="15" hidden="false" customHeight="true" outlineLevel="0" collapsed="false">
      <c r="A26" s="4"/>
      <c r="B26" s="4"/>
      <c r="C26" s="4"/>
      <c r="D26" s="4"/>
      <c r="E26" s="4"/>
      <c r="F26" s="4"/>
      <c r="G26" s="4"/>
      <c r="H26" s="4"/>
    </row>
    <row r="28" customFormat="false" ht="15" hidden="false" customHeight="false" outlineLevel="0" collapsed="false">
      <c r="A28" s="6" t="s">
        <v>13</v>
      </c>
      <c r="B28" s="6"/>
      <c r="C28" s="6"/>
      <c r="D28" s="6"/>
      <c r="E28" s="6"/>
      <c r="F28" s="6"/>
      <c r="G28" s="6"/>
      <c r="H28" s="6"/>
    </row>
    <row r="29" customFormat="false" ht="69.75" hidden="false" customHeight="true" outlineLevel="0" collapsed="false">
      <c r="A29" s="4" t="s">
        <v>14</v>
      </c>
      <c r="B29" s="4"/>
      <c r="C29" s="4"/>
      <c r="D29" s="4"/>
      <c r="E29" s="4"/>
      <c r="F29" s="4"/>
      <c r="G29" s="4"/>
      <c r="H29" s="4"/>
    </row>
    <row r="30" customFormat="false" ht="15" hidden="false" customHeight="false" outlineLevel="0" collapsed="false">
      <c r="A30" s="4"/>
      <c r="B30" s="4"/>
      <c r="C30" s="4"/>
      <c r="D30" s="4"/>
      <c r="E30" s="4"/>
      <c r="F30" s="4"/>
      <c r="G30" s="4"/>
      <c r="H30" s="4"/>
    </row>
    <row r="31" customFormat="false" ht="15" hidden="false" customHeight="false" outlineLevel="0" collapsed="false">
      <c r="A31" s="4"/>
      <c r="B31" s="4"/>
      <c r="C31" s="4"/>
      <c r="D31" s="4"/>
      <c r="E31" s="4"/>
      <c r="F31" s="4"/>
      <c r="G31" s="4"/>
      <c r="H31" s="4"/>
    </row>
    <row r="33" customFormat="false" ht="15" hidden="false" customHeight="false" outlineLevel="0" collapsed="false">
      <c r="A33" s="7" t="s">
        <v>15</v>
      </c>
    </row>
    <row r="34" customFormat="false" ht="109.5" hidden="false" customHeight="true" outlineLevel="0" collapsed="false">
      <c r="A34" s="8" t="s">
        <v>16</v>
      </c>
    </row>
    <row r="36" customFormat="false" ht="15" hidden="false" customHeight="false" outlineLevel="0" collapsed="false">
      <c r="A36" s="7" t="s">
        <v>17</v>
      </c>
    </row>
    <row r="37" customFormat="false" ht="109.5" hidden="false" customHeight="true" outlineLevel="0" collapsed="false">
      <c r="A37" s="8" t="s">
        <v>18</v>
      </c>
    </row>
    <row r="39" customFormat="false" ht="15" hidden="false" customHeight="false" outlineLevel="0" collapsed="false">
      <c r="A39" s="7" t="s">
        <v>19</v>
      </c>
    </row>
    <row r="40" customFormat="false" ht="109.5" hidden="false" customHeight="true" outlineLevel="0" collapsed="false">
      <c r="A40" s="8" t="s">
        <v>20</v>
      </c>
    </row>
  </sheetData>
  <mergeCells count="14">
    <mergeCell ref="A4:H4"/>
    <mergeCell ref="A5:H6"/>
    <mergeCell ref="A8:H8"/>
    <mergeCell ref="A9:H10"/>
    <mergeCell ref="A12:H12"/>
    <mergeCell ref="A13:H14"/>
    <mergeCell ref="A16:H16"/>
    <mergeCell ref="A17:H18"/>
    <mergeCell ref="A20:H20"/>
    <mergeCell ref="A21:H22"/>
    <mergeCell ref="A24:H24"/>
    <mergeCell ref="A25:H26"/>
    <mergeCell ref="A28:H28"/>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24"/>
    <col collapsed="false" customWidth="true" hidden="false" outlineLevel="0" max="4" min="4" style="0" width="14"/>
    <col collapsed="false" customWidth="true" hidden="false" outlineLevel="0" max="5" min="5" style="0" width="60"/>
  </cols>
  <sheetData>
    <row r="1" customFormat="false" ht="17.35" hidden="false" customHeight="false" outlineLevel="0" collapsed="false">
      <c r="A1" s="9" t="s">
        <v>21</v>
      </c>
    </row>
    <row r="2" customFormat="false" ht="39.75" hidden="false" customHeight="true" outlineLevel="0" collapsed="false">
      <c r="A2" s="8" t="s">
        <v>22</v>
      </c>
    </row>
    <row r="4" customFormat="false" ht="15" hidden="false" customHeight="false" outlineLevel="0" collapsed="false">
      <c r="A4" s="10" t="s">
        <v>23</v>
      </c>
      <c r="B4" s="10" t="s">
        <v>24</v>
      </c>
      <c r="C4" s="10" t="s">
        <v>25</v>
      </c>
      <c r="D4" s="10" t="s">
        <v>26</v>
      </c>
      <c r="E4" s="10" t="s">
        <v>27</v>
      </c>
    </row>
    <row r="5" customFormat="false" ht="45.75" hidden="false" customHeight="true" outlineLevel="0" collapsed="false">
      <c r="A5" s="8" t="s">
        <v>28</v>
      </c>
      <c r="B5" s="8" t="s">
        <v>29</v>
      </c>
      <c r="C5" s="8" t="s">
        <v>30</v>
      </c>
      <c r="D5" s="8" t="n">
        <v>1300</v>
      </c>
      <c r="E5" s="8" t="s">
        <v>31</v>
      </c>
    </row>
    <row r="6" customFormat="false" ht="45.75" hidden="false" customHeight="true" outlineLevel="0" collapsed="false">
      <c r="A6" s="8" t="s">
        <v>32</v>
      </c>
      <c r="B6" s="8" t="s">
        <v>29</v>
      </c>
      <c r="C6" s="8" t="s">
        <v>30</v>
      </c>
      <c r="D6" s="8" t="n">
        <v>300</v>
      </c>
      <c r="E6" s="8" t="s">
        <v>33</v>
      </c>
    </row>
    <row r="7" customFormat="false" ht="45.75" hidden="false" customHeight="true" outlineLevel="0" collapsed="false">
      <c r="A7" s="8" t="s">
        <v>34</v>
      </c>
      <c r="B7" s="8" t="s">
        <v>35</v>
      </c>
      <c r="C7" s="8" t="s">
        <v>36</v>
      </c>
      <c r="D7" s="8" t="n">
        <v>245</v>
      </c>
      <c r="E7" s="8" t="s">
        <v>37</v>
      </c>
    </row>
    <row r="8" customFormat="false" ht="45.75" hidden="false" customHeight="true" outlineLevel="0" collapsed="false">
      <c r="A8" s="8" t="s">
        <v>38</v>
      </c>
      <c r="B8" s="8" t="s">
        <v>39</v>
      </c>
      <c r="C8" s="8" t="s">
        <v>40</v>
      </c>
      <c r="D8" s="8" t="s">
        <v>41</v>
      </c>
      <c r="E8" s="8" t="s">
        <v>42</v>
      </c>
    </row>
    <row r="9" customFormat="false" ht="45.75" hidden="false" customHeight="true" outlineLevel="0" collapsed="false">
      <c r="A9" s="8" t="s">
        <v>43</v>
      </c>
      <c r="B9" s="8" t="s">
        <v>44</v>
      </c>
      <c r="C9" s="8" t="s">
        <v>45</v>
      </c>
      <c r="D9" s="8" t="n">
        <v>3266.67</v>
      </c>
      <c r="E9" s="8" t="s">
        <v>46</v>
      </c>
    </row>
    <row r="10" customFormat="false" ht="15" hidden="false" customHeight="false" outlineLevel="0" collapsed="false">
      <c r="A10" s="7" t="s">
        <v>47</v>
      </c>
      <c r="D10" s="7" t="n">
        <f aca="false">D5+D6</f>
        <v>1600</v>
      </c>
    </row>
    <row r="12" customFormat="false" ht="78" hidden="false" customHeight="true" outlineLevel="0" collapsed="false">
      <c r="A12" s="8" t="s">
        <v>48</v>
      </c>
    </row>
    <row r="13" customFormat="false" ht="78" hidden="false" customHeight="true" outlineLevel="0" collapsed="false">
      <c r="A13" s="8"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8"/>
  </cols>
  <sheetData>
    <row r="1" customFormat="false" ht="17.25" hidden="false" customHeight="true" outlineLevel="0" collapsed="false">
      <c r="A1" s="2" t="s">
        <v>50</v>
      </c>
    </row>
    <row r="2" customFormat="false" ht="15" hidden="false" customHeight="true" outlineLevel="0" collapsed="false">
      <c r="A2" s="11" t="s">
        <v>51</v>
      </c>
    </row>
    <row r="4" customFormat="false" ht="39" hidden="false" customHeight="true" outlineLevel="0" collapsed="false">
      <c r="A4" s="12" t="s">
        <v>52</v>
      </c>
      <c r="B4" s="12" t="s">
        <v>53</v>
      </c>
      <c r="C4" s="12" t="s">
        <v>54</v>
      </c>
      <c r="D4" s="12" t="s">
        <v>55</v>
      </c>
      <c r="E4" s="12" t="s">
        <v>56</v>
      </c>
    </row>
    <row r="5" customFormat="false" ht="15" hidden="false" customHeight="true" outlineLevel="0" collapsed="false">
      <c r="A5" s="13" t="s">
        <v>57</v>
      </c>
      <c r="B5" s="14" t="n">
        <v>418990</v>
      </c>
      <c r="C5" s="14" t="n">
        <v>369980.87</v>
      </c>
      <c r="D5" s="14" t="n">
        <v>130976.23</v>
      </c>
      <c r="E5" s="14" t="n">
        <f aca="false">C5+D5</f>
        <v>500957.1</v>
      </c>
    </row>
    <row r="6" customFormat="false" ht="15" hidden="false" customHeight="true" outlineLevel="0" collapsed="false">
      <c r="A6" s="15" t="s">
        <v>58</v>
      </c>
      <c r="B6" s="16" t="n">
        <v>119455</v>
      </c>
      <c r="C6" s="16" t="n">
        <v>225431.76</v>
      </c>
      <c r="D6" s="16" t="n">
        <v>215.4</v>
      </c>
      <c r="E6" s="16" t="n">
        <f aca="false">C6+D6</f>
        <v>225647.16</v>
      </c>
    </row>
    <row r="7" customFormat="false" ht="15" hidden="false" customHeight="true" outlineLevel="0" collapsed="false">
      <c r="A7" s="15" t="s">
        <v>59</v>
      </c>
      <c r="B7" s="16" t="n">
        <v>22841</v>
      </c>
      <c r="C7" s="16" t="n">
        <v>0</v>
      </c>
      <c r="D7" s="16" t="n">
        <v>0</v>
      </c>
      <c r="E7" s="16" t="n">
        <f aca="false">C7+D7</f>
        <v>0</v>
      </c>
    </row>
    <row r="8" customFormat="false" ht="15" hidden="false" customHeight="true" outlineLevel="0" collapsed="false">
      <c r="A8" s="15" t="s">
        <v>60</v>
      </c>
      <c r="B8" s="16" t="n">
        <v>15340</v>
      </c>
      <c r="C8" s="16" t="n">
        <v>0</v>
      </c>
      <c r="D8" s="16" t="n">
        <v>0</v>
      </c>
      <c r="E8" s="16" t="n">
        <f aca="false">C8+D8</f>
        <v>0</v>
      </c>
    </row>
    <row r="9" customFormat="false" ht="15" hidden="false" customHeight="true" outlineLevel="0" collapsed="false">
      <c r="A9" s="15" t="s">
        <v>61</v>
      </c>
      <c r="B9" s="16" t="n">
        <v>7740</v>
      </c>
      <c r="C9" s="16" t="n">
        <v>0</v>
      </c>
      <c r="D9" s="16" t="n">
        <v>0</v>
      </c>
      <c r="E9" s="16" t="n">
        <f aca="false">C9+D9</f>
        <v>0</v>
      </c>
    </row>
    <row r="10" customFormat="false" ht="15" hidden="false" customHeight="true" outlineLevel="0" collapsed="false">
      <c r="A10" s="15" t="s">
        <v>62</v>
      </c>
      <c r="B10" s="16" t="n">
        <v>0</v>
      </c>
      <c r="C10" s="16" t="n">
        <v>1796.69</v>
      </c>
      <c r="D10" s="16" t="n">
        <v>3007.12</v>
      </c>
      <c r="E10" s="16" t="n">
        <f aca="false">C10+D10</f>
        <v>4803.81</v>
      </c>
    </row>
    <row r="11" customFormat="false" ht="15" hidden="false" customHeight="true" outlineLevel="0" collapsed="false">
      <c r="A11" s="15" t="s">
        <v>63</v>
      </c>
      <c r="B11" s="16" t="n">
        <v>9528</v>
      </c>
      <c r="C11" s="16" t="n">
        <v>0</v>
      </c>
      <c r="D11" s="16" t="n">
        <v>0</v>
      </c>
      <c r="E11" s="16" t="n">
        <f aca="false">C11+D11</f>
        <v>0</v>
      </c>
    </row>
    <row r="12" customFormat="false" ht="15" hidden="false" customHeight="true" outlineLevel="0" collapsed="false">
      <c r="A12" s="15" t="s">
        <v>64</v>
      </c>
      <c r="B12" s="16" t="n">
        <v>18913</v>
      </c>
      <c r="C12" s="16" t="n">
        <v>2538</v>
      </c>
      <c r="D12" s="16" t="n">
        <v>735</v>
      </c>
      <c r="E12" s="16" t="n">
        <f aca="false">C12+D12</f>
        <v>3273</v>
      </c>
    </row>
    <row r="13" customFormat="false" ht="15" hidden="false" customHeight="true" outlineLevel="0" collapsed="false">
      <c r="A13" s="15" t="s">
        <v>65</v>
      </c>
      <c r="B13" s="16" t="n">
        <v>150577</v>
      </c>
      <c r="C13" s="16" t="n">
        <v>105777.57</v>
      </c>
      <c r="D13" s="16" t="n">
        <v>8873.49</v>
      </c>
      <c r="E13" s="16" t="n">
        <f aca="false">C13+D13</f>
        <v>114651.06</v>
      </c>
    </row>
    <row r="14" customFormat="false" ht="15" hidden="false" customHeight="true" outlineLevel="0" collapsed="false">
      <c r="A14" s="15" t="s">
        <v>66</v>
      </c>
      <c r="B14" s="16" t="n">
        <v>5919</v>
      </c>
      <c r="C14" s="16" t="n">
        <v>0</v>
      </c>
      <c r="D14" s="16" t="n">
        <v>0</v>
      </c>
      <c r="E14" s="16" t="n">
        <f aca="false">C14+D14</f>
        <v>0</v>
      </c>
    </row>
    <row r="15" customFormat="false" ht="15" hidden="false" customHeight="true" outlineLevel="0" collapsed="false">
      <c r="A15" s="15" t="s">
        <v>67</v>
      </c>
      <c r="B15" s="16" t="n">
        <v>31985</v>
      </c>
      <c r="C15" s="16" t="n">
        <v>4040.4</v>
      </c>
      <c r="D15" s="16" t="n">
        <v>1352.75</v>
      </c>
      <c r="E15" s="16" t="n">
        <f aca="false">C15+D15</f>
        <v>5393.15</v>
      </c>
    </row>
    <row r="16" customFormat="false" ht="15" hidden="false" customHeight="true" outlineLevel="0" collapsed="false">
      <c r="A16" s="15" t="s">
        <v>68</v>
      </c>
      <c r="B16" s="16" t="n">
        <v>6901</v>
      </c>
      <c r="C16" s="16" t="n">
        <v>515.28</v>
      </c>
      <c r="D16" s="16" t="n">
        <v>104441.31</v>
      </c>
      <c r="E16" s="16" t="n">
        <f aca="false">C16+D16</f>
        <v>104956.59</v>
      </c>
    </row>
    <row r="17" customFormat="false" ht="15" hidden="false" customHeight="true" outlineLevel="0" collapsed="false">
      <c r="A17" s="15" t="s">
        <v>69</v>
      </c>
      <c r="B17" s="16" t="n">
        <v>22500</v>
      </c>
      <c r="C17" s="16" t="n">
        <v>19700</v>
      </c>
      <c r="D17" s="16" t="n">
        <v>17500</v>
      </c>
      <c r="E17" s="16" t="n">
        <f aca="false">C17+D17</f>
        <v>37200</v>
      </c>
    </row>
    <row r="18" customFormat="false" ht="15" hidden="false" customHeight="true" outlineLevel="0" collapsed="false">
      <c r="A18" s="15" t="s">
        <v>70</v>
      </c>
      <c r="B18" s="16" t="n">
        <v>4124</v>
      </c>
      <c r="C18" s="16" t="n">
        <v>330.78</v>
      </c>
      <c r="D18" s="16" t="n">
        <v>1519.9</v>
      </c>
      <c r="E18" s="16" t="n">
        <f aca="false">C18+D18</f>
        <v>1850.68</v>
      </c>
    </row>
    <row r="19" customFormat="false" ht="15" hidden="false" customHeight="true" outlineLevel="0" collapsed="false">
      <c r="A19" s="15" t="s">
        <v>71</v>
      </c>
      <c r="B19" s="16" t="n">
        <v>0</v>
      </c>
      <c r="C19" s="16" t="n">
        <v>0</v>
      </c>
      <c r="D19" s="16" t="n">
        <v>230.68</v>
      </c>
      <c r="E19" s="16" t="n">
        <f aca="false">C19+D19</f>
        <v>230.68</v>
      </c>
    </row>
    <row r="20" customFormat="false" ht="15" hidden="false" customHeight="true" outlineLevel="0" collapsed="false">
      <c r="A20" s="15" t="s">
        <v>72</v>
      </c>
      <c r="B20" s="16" t="n">
        <v>518</v>
      </c>
      <c r="C20" s="16" t="n">
        <v>0</v>
      </c>
      <c r="D20" s="16" t="n">
        <v>0</v>
      </c>
      <c r="E20" s="16" t="n">
        <f aca="false">C20+D20</f>
        <v>0</v>
      </c>
    </row>
    <row r="21" customFormat="false" ht="15" hidden="false" customHeight="true" outlineLevel="0" collapsed="false">
      <c r="A21" s="13" t="s">
        <v>73</v>
      </c>
      <c r="B21" s="14" t="n">
        <v>416342</v>
      </c>
      <c r="C21" s="14" t="n">
        <v>360130.48</v>
      </c>
      <c r="D21" s="14" t="n">
        <v>137875.65</v>
      </c>
      <c r="E21" s="14" t="n">
        <f aca="false">C21+D21</f>
        <v>498006.13</v>
      </c>
    </row>
    <row r="22" customFormat="false" ht="15" hidden="false" customHeight="true" outlineLevel="0" collapsed="false">
      <c r="A22" s="13" t="s">
        <v>74</v>
      </c>
      <c r="B22" s="14" t="n">
        <v>2648</v>
      </c>
      <c r="C22" s="14" t="n">
        <v>9850.39</v>
      </c>
      <c r="D22" s="14" t="n">
        <v>-6899.42</v>
      </c>
      <c r="E22" s="14" t="n">
        <f aca="false">C22+D22</f>
        <v>2950.97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75</v>
      </c>
    </row>
    <row r="2" customFormat="false" ht="15" hidden="false" customHeight="true" outlineLevel="0" collapsed="false">
      <c r="A2" s="11" t="s">
        <v>76</v>
      </c>
    </row>
    <row r="4" customFormat="false" ht="26.25" hidden="false" customHeight="true" outlineLevel="0" collapsed="false">
      <c r="A4" s="12" t="s">
        <v>77</v>
      </c>
      <c r="B4" s="12" t="s">
        <v>78</v>
      </c>
      <c r="C4" s="12" t="s">
        <v>79</v>
      </c>
      <c r="D4" s="12" t="s">
        <v>80</v>
      </c>
      <c r="E4" s="12" t="s">
        <v>81</v>
      </c>
      <c r="F4" s="12" t="s">
        <v>82</v>
      </c>
      <c r="G4" s="12" t="s">
        <v>83</v>
      </c>
      <c r="H4" s="12" t="s">
        <v>84</v>
      </c>
      <c r="I4" s="12" t="s">
        <v>85</v>
      </c>
      <c r="J4" s="12" t="s">
        <v>86</v>
      </c>
      <c r="K4" s="12" t="s">
        <v>87</v>
      </c>
      <c r="L4" s="12" t="s">
        <v>88</v>
      </c>
      <c r="M4" s="12" t="s">
        <v>89</v>
      </c>
      <c r="N4" s="12" t="s">
        <v>90</v>
      </c>
    </row>
    <row r="5" customFormat="false" ht="15" hidden="false" customHeight="true" outlineLevel="0" collapsed="false">
      <c r="A5" s="17" t="s">
        <v>91</v>
      </c>
      <c r="B5" s="16" t="n">
        <v>18589.07</v>
      </c>
      <c r="C5" s="16" t="n">
        <v>26923.71</v>
      </c>
      <c r="D5" s="16" t="n">
        <v>9918.8</v>
      </c>
      <c r="E5" s="16" t="n">
        <v>9193.25</v>
      </c>
      <c r="F5" s="16" t="n">
        <v>45269.73</v>
      </c>
      <c r="G5" s="16" t="n">
        <v>35391.31</v>
      </c>
      <c r="H5" s="16" t="n">
        <v>63825.86</v>
      </c>
      <c r="I5" s="16" t="n">
        <v>76957.08</v>
      </c>
      <c r="J5" s="16" t="n">
        <v>41546.22</v>
      </c>
      <c r="K5" s="16" t="n">
        <v>33310.13</v>
      </c>
      <c r="L5" s="16" t="n">
        <v>25154.74</v>
      </c>
      <c r="M5" s="16" t="n">
        <v>32910.1</v>
      </c>
      <c r="N5" s="18" t="n">
        <f aca="false">SUM(B5:M5)</f>
        <v>418990</v>
      </c>
    </row>
    <row r="6" customFormat="false" ht="15" hidden="false" customHeight="true" outlineLevel="0" collapsed="false">
      <c r="A6" s="1" t="s">
        <v>58</v>
      </c>
      <c r="B6" s="16" t="n">
        <v>6680.56</v>
      </c>
      <c r="C6" s="16" t="n">
        <v>9675.87</v>
      </c>
      <c r="D6" s="16" t="n">
        <v>3564.63</v>
      </c>
      <c r="E6" s="16" t="n">
        <v>3303.88</v>
      </c>
      <c r="F6" s="16" t="n">
        <v>16269.07</v>
      </c>
      <c r="G6" s="16" t="n">
        <v>12718.96</v>
      </c>
      <c r="H6" s="16" t="n">
        <v>22937.79</v>
      </c>
      <c r="I6" s="16" t="n">
        <v>27656.91</v>
      </c>
      <c r="J6" s="16" t="n">
        <v>14930.92</v>
      </c>
      <c r="K6" s="16" t="n">
        <v>11971.02</v>
      </c>
      <c r="L6" s="16" t="n">
        <v>9040.13</v>
      </c>
      <c r="M6" s="16" t="n">
        <v>11827.26</v>
      </c>
      <c r="N6" s="16" t="n">
        <f aca="false">SUM(B6:M6)</f>
        <v>150577</v>
      </c>
    </row>
    <row r="7" customFormat="false" ht="15" hidden="false" customHeight="true" outlineLevel="0" collapsed="false">
      <c r="A7" s="1" t="s">
        <v>59</v>
      </c>
      <c r="B7" s="16" t="n">
        <v>1013.37</v>
      </c>
      <c r="C7" s="16" t="n">
        <v>1467.73</v>
      </c>
      <c r="D7" s="16" t="n">
        <v>540.72</v>
      </c>
      <c r="E7" s="16" t="n">
        <v>501.16</v>
      </c>
      <c r="F7" s="16" t="n">
        <v>2467.85</v>
      </c>
      <c r="G7" s="16" t="n">
        <v>1929.34</v>
      </c>
      <c r="H7" s="16" t="n">
        <v>3479.43</v>
      </c>
      <c r="I7" s="16" t="n">
        <v>4195.27</v>
      </c>
      <c r="J7" s="16" t="n">
        <v>2264.87</v>
      </c>
      <c r="K7" s="16" t="n">
        <v>1815.88</v>
      </c>
      <c r="L7" s="16" t="n">
        <v>1371.3</v>
      </c>
      <c r="M7" s="16" t="n">
        <v>1794.08</v>
      </c>
      <c r="N7" s="16" t="n">
        <f aca="false">SUM(B7:M7)</f>
        <v>22841</v>
      </c>
    </row>
    <row r="8" customFormat="false" ht="15" hidden="false" customHeight="true" outlineLevel="0" collapsed="false">
      <c r="A8" s="1" t="s">
        <v>60</v>
      </c>
      <c r="B8" s="16" t="n">
        <v>680.58</v>
      </c>
      <c r="C8" s="16" t="n">
        <v>985.73</v>
      </c>
      <c r="D8" s="16" t="n">
        <v>363.15</v>
      </c>
      <c r="E8" s="16" t="n">
        <v>336.58</v>
      </c>
      <c r="F8" s="16" t="n">
        <v>1657.41</v>
      </c>
      <c r="G8" s="16" t="n">
        <v>1295.74</v>
      </c>
      <c r="H8" s="16" t="n">
        <v>2336.78</v>
      </c>
      <c r="I8" s="16" t="n">
        <v>2817.54</v>
      </c>
      <c r="J8" s="16" t="n">
        <v>1521.08</v>
      </c>
      <c r="K8" s="16" t="n">
        <v>1219.55</v>
      </c>
      <c r="L8" s="16" t="n">
        <v>920.96</v>
      </c>
      <c r="M8" s="16" t="n">
        <v>1204.9</v>
      </c>
      <c r="N8" s="16" t="n">
        <f aca="false">SUM(B8:M8)</f>
        <v>15340</v>
      </c>
    </row>
    <row r="9" customFormat="false" ht="15" hidden="false" customHeight="true" outlineLevel="0" collapsed="false">
      <c r="A9" s="1" t="s">
        <v>61</v>
      </c>
      <c r="B9" s="16" t="n">
        <v>343.4</v>
      </c>
      <c r="C9" s="16" t="n">
        <v>497.36</v>
      </c>
      <c r="D9" s="16" t="n">
        <v>183.23</v>
      </c>
      <c r="E9" s="16" t="n">
        <v>169.83</v>
      </c>
      <c r="F9" s="16" t="n">
        <v>836.27</v>
      </c>
      <c r="G9" s="16" t="n">
        <v>653.78</v>
      </c>
      <c r="H9" s="16" t="n">
        <v>1179.05</v>
      </c>
      <c r="I9" s="16" t="n">
        <v>1421.63</v>
      </c>
      <c r="J9" s="16" t="n">
        <v>767.48</v>
      </c>
      <c r="K9" s="16" t="n">
        <v>615.34</v>
      </c>
      <c r="L9" s="16" t="n">
        <v>464.68</v>
      </c>
      <c r="M9" s="16" t="n">
        <v>607.95</v>
      </c>
      <c r="N9" s="16" t="n">
        <f aca="false">SUM(B9:M9)</f>
        <v>7740</v>
      </c>
    </row>
    <row r="10" customFormat="false" ht="15" hidden="false" customHeight="true" outlineLevel="0" collapsed="false">
      <c r="A10" s="1" t="s">
        <v>63</v>
      </c>
      <c r="B10" s="16" t="n">
        <v>422.72</v>
      </c>
      <c r="C10" s="16" t="n">
        <v>612.26</v>
      </c>
      <c r="D10" s="16" t="n">
        <v>225.56</v>
      </c>
      <c r="E10" s="16" t="n">
        <v>209.06</v>
      </c>
      <c r="F10" s="16" t="n">
        <v>1029.45</v>
      </c>
      <c r="G10" s="16" t="n">
        <v>804.81</v>
      </c>
      <c r="H10" s="16" t="n">
        <v>1451.43</v>
      </c>
      <c r="I10" s="16" t="n">
        <v>1750.03</v>
      </c>
      <c r="J10" s="16" t="n">
        <v>944.78</v>
      </c>
      <c r="K10" s="16" t="n">
        <v>757.49</v>
      </c>
      <c r="L10" s="16" t="n">
        <v>572.03</v>
      </c>
      <c r="M10" s="16" t="n">
        <v>748.39</v>
      </c>
      <c r="N10" s="16" t="n">
        <f aca="false">SUM(B10:M10)</f>
        <v>9528.01</v>
      </c>
    </row>
    <row r="11" customFormat="false" ht="15" hidden="false" customHeight="true" outlineLevel="0" collapsed="false">
      <c r="A11" s="1" t="s">
        <v>64</v>
      </c>
      <c r="B11" s="16" t="n">
        <v>839.1</v>
      </c>
      <c r="C11" s="16" t="n">
        <v>1215.32</v>
      </c>
      <c r="D11" s="16" t="n">
        <v>447.73</v>
      </c>
      <c r="E11" s="16" t="n">
        <v>414.98</v>
      </c>
      <c r="F11" s="16" t="n">
        <v>2043.45</v>
      </c>
      <c r="G11" s="16" t="n">
        <v>1597.55</v>
      </c>
      <c r="H11" s="16" t="n">
        <v>2881.07</v>
      </c>
      <c r="I11" s="16" t="n">
        <v>3473.8</v>
      </c>
      <c r="J11" s="16" t="n">
        <v>1875.38</v>
      </c>
      <c r="K11" s="16" t="n">
        <v>1503.6</v>
      </c>
      <c r="L11" s="16" t="n">
        <v>1135.47</v>
      </c>
      <c r="M11" s="16" t="n">
        <v>1485.55</v>
      </c>
      <c r="N11" s="16" t="n">
        <f aca="false">SUM(B11:M11)</f>
        <v>18913</v>
      </c>
    </row>
    <row r="12" customFormat="false" ht="15" hidden="false" customHeight="true" outlineLevel="0" collapsed="false">
      <c r="A12" s="1" t="s">
        <v>65</v>
      </c>
      <c r="B12" s="16" t="n">
        <v>5299.79</v>
      </c>
      <c r="C12" s="16" t="n">
        <v>7676.01</v>
      </c>
      <c r="D12" s="16" t="n">
        <v>2827.87</v>
      </c>
      <c r="E12" s="16" t="n">
        <v>2621.02</v>
      </c>
      <c r="F12" s="16" t="n">
        <v>12906.5</v>
      </c>
      <c r="G12" s="16" t="n">
        <v>10090.14</v>
      </c>
      <c r="H12" s="16" t="n">
        <v>18196.9</v>
      </c>
      <c r="I12" s="16" t="n">
        <v>21940.64</v>
      </c>
      <c r="J12" s="16" t="n">
        <v>11844.92</v>
      </c>
      <c r="K12" s="16" t="n">
        <v>9496.79</v>
      </c>
      <c r="L12" s="16" t="n">
        <v>7171.67</v>
      </c>
      <c r="M12" s="16" t="n">
        <v>9382.75</v>
      </c>
      <c r="N12" s="16" t="n">
        <f aca="false">SUM(B12:M12)</f>
        <v>119455</v>
      </c>
    </row>
    <row r="13" customFormat="false" ht="15" hidden="false" customHeight="true" outlineLevel="0" collapsed="false">
      <c r="A13" s="1" t="s">
        <v>66</v>
      </c>
      <c r="B13" s="16" t="n">
        <v>262.6</v>
      </c>
      <c r="C13" s="16" t="n">
        <v>380.35</v>
      </c>
      <c r="D13" s="16" t="n">
        <v>140.12</v>
      </c>
      <c r="E13" s="16" t="n">
        <v>129.87</v>
      </c>
      <c r="F13" s="16" t="n">
        <v>639.52</v>
      </c>
      <c r="G13" s="16" t="n">
        <v>499.97</v>
      </c>
      <c r="H13" s="16" t="n">
        <v>901.66</v>
      </c>
      <c r="I13" s="16" t="n">
        <v>1087.16</v>
      </c>
      <c r="J13" s="16" t="n">
        <v>586.92</v>
      </c>
      <c r="K13" s="16" t="n">
        <v>470.57</v>
      </c>
      <c r="L13" s="16" t="n">
        <v>355.36</v>
      </c>
      <c r="M13" s="16" t="n">
        <v>464.92</v>
      </c>
      <c r="N13" s="16" t="n">
        <f aca="false">SUM(B13:M13)</f>
        <v>5919.02</v>
      </c>
    </row>
    <row r="14" customFormat="false" ht="15" hidden="false" customHeight="true" outlineLevel="0" collapsed="false">
      <c r="A14" s="1" t="s">
        <v>67</v>
      </c>
      <c r="B14" s="16" t="n">
        <v>1419.06</v>
      </c>
      <c r="C14" s="16" t="n">
        <v>2055.31</v>
      </c>
      <c r="D14" s="16" t="n">
        <v>757.18</v>
      </c>
      <c r="E14" s="16" t="n">
        <v>701.8</v>
      </c>
      <c r="F14" s="16" t="n">
        <v>3455.82</v>
      </c>
      <c r="G14" s="16" t="n">
        <v>2701.71</v>
      </c>
      <c r="H14" s="16" t="n">
        <v>4872.36</v>
      </c>
      <c r="I14" s="16" t="n">
        <v>5874.78</v>
      </c>
      <c r="J14" s="16" t="n">
        <v>3171.57</v>
      </c>
      <c r="K14" s="16" t="n">
        <v>2542.84</v>
      </c>
      <c r="L14" s="16" t="n">
        <v>1920.27</v>
      </c>
      <c r="M14" s="16" t="n">
        <v>2512.3</v>
      </c>
      <c r="N14" s="16" t="n">
        <f aca="false">SUM(B14:M14)</f>
        <v>31985</v>
      </c>
    </row>
    <row r="15" customFormat="false" ht="15" hidden="false" customHeight="true" outlineLevel="0" collapsed="false">
      <c r="A15" s="1" t="s">
        <v>68</v>
      </c>
      <c r="B15" s="16" t="n">
        <v>306.17</v>
      </c>
      <c r="C15" s="16" t="n">
        <v>443.45</v>
      </c>
      <c r="D15" s="16" t="n">
        <v>163.37</v>
      </c>
      <c r="E15" s="16" t="n">
        <v>151.42</v>
      </c>
      <c r="F15" s="16" t="n">
        <v>745.62</v>
      </c>
      <c r="G15" s="16" t="n">
        <v>582.91</v>
      </c>
      <c r="H15" s="16" t="n">
        <v>1051.25</v>
      </c>
      <c r="I15" s="16" t="n">
        <v>1267.53</v>
      </c>
      <c r="J15" s="16" t="n">
        <v>684.29</v>
      </c>
      <c r="K15" s="16" t="n">
        <v>548.64</v>
      </c>
      <c r="L15" s="16" t="n">
        <v>414.31</v>
      </c>
      <c r="M15" s="16" t="n">
        <v>542.05</v>
      </c>
      <c r="N15" s="16" t="n">
        <f aca="false">SUM(B15:M15)</f>
        <v>6901.01</v>
      </c>
    </row>
    <row r="16" customFormat="false" ht="15" hidden="false" customHeight="true" outlineLevel="0" collapsed="false">
      <c r="A16" s="1" t="s">
        <v>69</v>
      </c>
      <c r="B16" s="16" t="n">
        <v>998.24</v>
      </c>
      <c r="C16" s="16" t="n">
        <v>1445.82</v>
      </c>
      <c r="D16" s="16" t="n">
        <v>532.65</v>
      </c>
      <c r="E16" s="16" t="n">
        <v>493.68</v>
      </c>
      <c r="F16" s="16" t="n">
        <v>2431.01</v>
      </c>
      <c r="G16" s="16" t="n">
        <v>1900.53</v>
      </c>
      <c r="H16" s="16" t="n">
        <v>3427.48</v>
      </c>
      <c r="I16" s="16" t="n">
        <v>4132.64</v>
      </c>
      <c r="J16" s="16" t="n">
        <v>2231.06</v>
      </c>
      <c r="K16" s="16" t="n">
        <v>1788.77</v>
      </c>
      <c r="L16" s="16" t="n">
        <v>1350.82</v>
      </c>
      <c r="M16" s="16" t="n">
        <v>1767.29</v>
      </c>
      <c r="N16" s="16" t="n">
        <f aca="false">SUM(B16:M16)</f>
        <v>22499.99</v>
      </c>
    </row>
    <row r="17" customFormat="false" ht="15" hidden="false" customHeight="true" outlineLevel="0" collapsed="false">
      <c r="A17" s="1" t="s">
        <v>70</v>
      </c>
      <c r="B17" s="16" t="n">
        <v>182.97</v>
      </c>
      <c r="C17" s="16" t="n">
        <v>265</v>
      </c>
      <c r="D17" s="16" t="n">
        <v>97.63</v>
      </c>
      <c r="E17" s="16" t="n">
        <v>90.49</v>
      </c>
      <c r="F17" s="16" t="n">
        <v>445.58</v>
      </c>
      <c r="G17" s="16" t="n">
        <v>348.35</v>
      </c>
      <c r="H17" s="16" t="n">
        <v>628.22</v>
      </c>
      <c r="I17" s="16" t="n">
        <v>757.47</v>
      </c>
      <c r="J17" s="16" t="n">
        <v>408.93</v>
      </c>
      <c r="K17" s="16" t="n">
        <v>327.86</v>
      </c>
      <c r="L17" s="16" t="n">
        <v>247.59</v>
      </c>
      <c r="M17" s="16" t="n">
        <v>323.92</v>
      </c>
      <c r="N17" s="16" t="n">
        <f aca="false">SUM(B17:M17)</f>
        <v>4124.01</v>
      </c>
    </row>
    <row r="18" customFormat="false" ht="15" hidden="false" customHeight="true" outlineLevel="0" collapsed="false">
      <c r="A18" s="1" t="s">
        <v>92</v>
      </c>
      <c r="B18" s="16" t="n">
        <v>22.98</v>
      </c>
      <c r="C18" s="16" t="n">
        <v>33.29</v>
      </c>
      <c r="D18" s="16" t="n">
        <v>12.26</v>
      </c>
      <c r="E18" s="16" t="n">
        <v>11.37</v>
      </c>
      <c r="F18" s="16" t="n">
        <v>55.97</v>
      </c>
      <c r="G18" s="16" t="n">
        <v>43.75</v>
      </c>
      <c r="H18" s="16" t="n">
        <v>78.91</v>
      </c>
      <c r="I18" s="16" t="n">
        <v>95.14</v>
      </c>
      <c r="J18" s="16" t="n">
        <v>51.36</v>
      </c>
      <c r="K18" s="16" t="n">
        <v>41.18</v>
      </c>
      <c r="L18" s="16" t="n">
        <v>31.1</v>
      </c>
      <c r="M18" s="16" t="n">
        <v>40.69</v>
      </c>
      <c r="N18" s="16" t="n">
        <f aca="false">SUM(B18:M18)</f>
        <v>518</v>
      </c>
    </row>
    <row r="19" customFormat="false" ht="15" hidden="false" customHeight="true" outlineLevel="0" collapsed="false">
      <c r="A19" s="13" t="s">
        <v>73</v>
      </c>
      <c r="B19" s="14" t="n">
        <f aca="false">SUM(B6:B18)</f>
        <v>18471.54</v>
      </c>
      <c r="C19" s="14" t="n">
        <f aca="false">SUM(C6:C18)</f>
        <v>26753.5</v>
      </c>
      <c r="D19" s="14" t="n">
        <f aca="false">SUM(D6:D18)</f>
        <v>9856.1</v>
      </c>
      <c r="E19" s="14" t="n">
        <f aca="false">SUM(E6:E18)</f>
        <v>9135.14</v>
      </c>
      <c r="F19" s="14" t="n">
        <f aca="false">SUM(F6:F18)</f>
        <v>44983.52</v>
      </c>
      <c r="G19" s="14" t="n">
        <f aca="false">SUM(G6:G18)</f>
        <v>35167.54</v>
      </c>
      <c r="H19" s="14" t="n">
        <f aca="false">SUM(H6:H18)</f>
        <v>63422.33</v>
      </c>
      <c r="I19" s="14" t="n">
        <f aca="false">SUM(I6:I18)</f>
        <v>76470.54</v>
      </c>
      <c r="J19" s="14" t="n">
        <f aca="false">SUM(J6:J18)</f>
        <v>41283.56</v>
      </c>
      <c r="K19" s="14" t="n">
        <f aca="false">SUM(K6:K18)</f>
        <v>33099.53</v>
      </c>
      <c r="L19" s="14" t="n">
        <f aca="false">SUM(L6:L18)</f>
        <v>24995.69</v>
      </c>
      <c r="M19" s="14" t="n">
        <f aca="false">SUM(M6:M18)</f>
        <v>32702.05</v>
      </c>
      <c r="N19" s="18" t="n">
        <f aca="false">SUM(B19:M19)</f>
        <v>416341.04</v>
      </c>
    </row>
    <row r="20" customFormat="false" ht="15" hidden="false" customHeight="true" outlineLevel="0" collapsed="false">
      <c r="A20" s="13" t="s">
        <v>74</v>
      </c>
      <c r="B20" s="14" t="n">
        <f aca="false">B5-B19</f>
        <v>117.529999999999</v>
      </c>
      <c r="C20" s="14" t="n">
        <f aca="false">C5-C19</f>
        <v>170.209999999999</v>
      </c>
      <c r="D20" s="14" t="n">
        <f aca="false">D5-D19</f>
        <v>62.6999999999989</v>
      </c>
      <c r="E20" s="14" t="n">
        <f aca="false">E5-E19</f>
        <v>58.1100000000006</v>
      </c>
      <c r="F20" s="14" t="n">
        <f aca="false">F5-F19</f>
        <v>286.210000000006</v>
      </c>
      <c r="G20" s="14" t="n">
        <f aca="false">G5-G19</f>
        <v>223.769999999997</v>
      </c>
      <c r="H20" s="14" t="n">
        <f aca="false">H5-H19</f>
        <v>403.529999999999</v>
      </c>
      <c r="I20" s="14" t="n">
        <f aca="false">I5-I19</f>
        <v>486.540000000008</v>
      </c>
      <c r="J20" s="14" t="n">
        <f aca="false">J5-J19</f>
        <v>262.660000000004</v>
      </c>
      <c r="K20" s="14" t="n">
        <f aca="false">K5-K19</f>
        <v>210.599999999999</v>
      </c>
      <c r="L20" s="14" t="n">
        <f aca="false">L5-L19</f>
        <v>159.050000000003</v>
      </c>
      <c r="M20" s="14" t="n">
        <f aca="false">M5-M19</f>
        <v>208.049999999999</v>
      </c>
      <c r="N20" s="18" t="n">
        <f aca="false">SUM(B20:M20)</f>
        <v>2648.96000000001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93</v>
      </c>
    </row>
    <row r="2" customFormat="false" ht="15" hidden="false" customHeight="true" outlineLevel="0" collapsed="false">
      <c r="A2" s="11" t="s">
        <v>94</v>
      </c>
    </row>
    <row r="4" customFormat="false" ht="26.25" hidden="false" customHeight="true" outlineLevel="0" collapsed="false">
      <c r="A4" s="12" t="s">
        <v>77</v>
      </c>
      <c r="B4" s="12" t="s">
        <v>78</v>
      </c>
      <c r="C4" s="12" t="s">
        <v>79</v>
      </c>
      <c r="D4" s="12" t="s">
        <v>80</v>
      </c>
      <c r="E4" s="12" t="s">
        <v>81</v>
      </c>
      <c r="F4" s="12" t="s">
        <v>82</v>
      </c>
      <c r="G4" s="12" t="s">
        <v>83</v>
      </c>
      <c r="H4" s="12" t="s">
        <v>84</v>
      </c>
      <c r="I4" s="12" t="s">
        <v>85</v>
      </c>
      <c r="J4" s="12" t="s">
        <v>86</v>
      </c>
      <c r="K4" s="12" t="s">
        <v>87</v>
      </c>
      <c r="L4" s="12" t="s">
        <v>88</v>
      </c>
      <c r="M4" s="12" t="s">
        <v>89</v>
      </c>
      <c r="N4" s="12" t="s">
        <v>90</v>
      </c>
    </row>
    <row r="5" customFormat="false" ht="15" hidden="false" customHeight="true" outlineLevel="0" collapsed="false">
      <c r="A5" s="17" t="s">
        <v>91</v>
      </c>
      <c r="B5" s="16" t="n">
        <v>53470</v>
      </c>
      <c r="C5" s="16" t="n">
        <v>60844.52</v>
      </c>
      <c r="D5" s="16" t="n">
        <v>54507</v>
      </c>
      <c r="E5" s="16" t="n">
        <v>25686.36</v>
      </c>
      <c r="F5" s="16" t="n">
        <v>24077.17</v>
      </c>
      <c r="G5" s="16" t="n">
        <v>15411.99</v>
      </c>
      <c r="H5" s="16" t="n">
        <v>11922.63</v>
      </c>
      <c r="I5" s="16" t="n">
        <v>27550.31</v>
      </c>
      <c r="J5" s="16" t="n">
        <v>7594.57</v>
      </c>
      <c r="K5" s="16" t="n">
        <v>13413.7</v>
      </c>
      <c r="L5" s="16" t="n">
        <v>44458.16</v>
      </c>
      <c r="M5" s="16" t="n">
        <v>31044.47</v>
      </c>
      <c r="N5" s="18" t="n">
        <f aca="false">SUM(B5:M5)</f>
        <v>369980.88</v>
      </c>
    </row>
    <row r="6" customFormat="false" ht="15" hidden="false" customHeight="true" outlineLevel="0" collapsed="false">
      <c r="A6" s="1" t="s">
        <v>58</v>
      </c>
      <c r="B6" s="16" t="n">
        <v>15287.08</v>
      </c>
      <c r="C6" s="16" t="n">
        <v>17395.45</v>
      </c>
      <c r="D6" s="16" t="n">
        <v>15583.56</v>
      </c>
      <c r="E6" s="16" t="n">
        <v>7343.73</v>
      </c>
      <c r="F6" s="16" t="n">
        <v>6883.67</v>
      </c>
      <c r="G6" s="16" t="n">
        <v>4406.29</v>
      </c>
      <c r="H6" s="16" t="n">
        <v>3408.68</v>
      </c>
      <c r="I6" s="16" t="n">
        <v>7876.64</v>
      </c>
      <c r="J6" s="16" t="n">
        <v>2171.29</v>
      </c>
      <c r="K6" s="16" t="n">
        <v>3834.98</v>
      </c>
      <c r="L6" s="16" t="n">
        <v>12710.59</v>
      </c>
      <c r="M6" s="16" t="n">
        <v>8875.62</v>
      </c>
      <c r="N6" s="16" t="n">
        <f aca="false">SUM(B6:M6)</f>
        <v>105777.58</v>
      </c>
    </row>
    <row r="7" customFormat="false" ht="15" hidden="false" customHeight="true" outlineLevel="0" collapsed="false">
      <c r="A7" s="1" t="s">
        <v>62</v>
      </c>
      <c r="B7" s="16" t="n">
        <v>259.66</v>
      </c>
      <c r="C7" s="16" t="n">
        <v>295.47</v>
      </c>
      <c r="D7" s="16" t="n">
        <v>264.7</v>
      </c>
      <c r="E7" s="16" t="n">
        <v>124.74</v>
      </c>
      <c r="F7" s="16" t="n">
        <v>116.92</v>
      </c>
      <c r="G7" s="16" t="n">
        <v>74.84</v>
      </c>
      <c r="H7" s="16" t="n">
        <v>57.9</v>
      </c>
      <c r="I7" s="16" t="n">
        <v>133.79</v>
      </c>
      <c r="J7" s="16" t="n">
        <v>36.88</v>
      </c>
      <c r="K7" s="16" t="n">
        <v>65.14</v>
      </c>
      <c r="L7" s="16" t="n">
        <v>215.9</v>
      </c>
      <c r="M7" s="16" t="n">
        <v>150.76</v>
      </c>
      <c r="N7" s="16" t="n">
        <f aca="false">SUM(B7:M7)</f>
        <v>1796.7</v>
      </c>
    </row>
    <row r="8" customFormat="false" ht="15" hidden="false" customHeight="true" outlineLevel="0" collapsed="false">
      <c r="A8" s="1" t="s">
        <v>64</v>
      </c>
      <c r="B8" s="16" t="n">
        <v>366.79</v>
      </c>
      <c r="C8" s="16" t="n">
        <v>417.38</v>
      </c>
      <c r="D8" s="16" t="n">
        <v>373.91</v>
      </c>
      <c r="E8" s="16" t="n">
        <v>176.2</v>
      </c>
      <c r="F8" s="16" t="n">
        <v>165.16</v>
      </c>
      <c r="G8" s="16" t="n">
        <v>105.72</v>
      </c>
      <c r="H8" s="16" t="n">
        <v>81.79</v>
      </c>
      <c r="I8" s="16" t="n">
        <v>188.99</v>
      </c>
      <c r="J8" s="16" t="n">
        <v>52.1</v>
      </c>
      <c r="K8" s="16" t="n">
        <v>92.02</v>
      </c>
      <c r="L8" s="16" t="n">
        <v>304.97</v>
      </c>
      <c r="M8" s="16" t="n">
        <v>212.96</v>
      </c>
      <c r="N8" s="16" t="n">
        <f aca="false">SUM(B8:M8)</f>
        <v>2537.99</v>
      </c>
    </row>
    <row r="9" customFormat="false" ht="15" hidden="false" customHeight="true" outlineLevel="0" collapsed="false">
      <c r="A9" s="1" t="s">
        <v>65</v>
      </c>
      <c r="B9" s="16" t="n">
        <v>32579.62</v>
      </c>
      <c r="C9" s="16" t="n">
        <v>37072.96</v>
      </c>
      <c r="D9" s="16" t="n">
        <v>33211.47</v>
      </c>
      <c r="E9" s="16" t="n">
        <v>15650.87</v>
      </c>
      <c r="F9" s="16" t="n">
        <v>14670.38</v>
      </c>
      <c r="G9" s="16" t="n">
        <v>9390.63</v>
      </c>
      <c r="H9" s="16" t="n">
        <v>7264.53</v>
      </c>
      <c r="I9" s="16" t="n">
        <v>16786.58</v>
      </c>
      <c r="J9" s="16" t="n">
        <v>4627.42</v>
      </c>
      <c r="K9" s="16" t="n">
        <v>8173.06</v>
      </c>
      <c r="L9" s="16" t="n">
        <v>27088.65</v>
      </c>
      <c r="M9" s="16" t="n">
        <v>18915.6</v>
      </c>
      <c r="N9" s="16" t="n">
        <f aca="false">SUM(B9:M9)</f>
        <v>225431.77</v>
      </c>
    </row>
    <row r="10" customFormat="false" ht="15" hidden="false" customHeight="true" outlineLevel="0" collapsed="false">
      <c r="A10" s="1" t="s">
        <v>67</v>
      </c>
      <c r="B10" s="16" t="n">
        <v>583.92</v>
      </c>
      <c r="C10" s="16" t="n">
        <v>664.46</v>
      </c>
      <c r="D10" s="16" t="n">
        <v>595.25</v>
      </c>
      <c r="E10" s="16" t="n">
        <v>280.51</v>
      </c>
      <c r="F10" s="16" t="n">
        <v>262.94</v>
      </c>
      <c r="G10" s="16" t="n">
        <v>168.31</v>
      </c>
      <c r="H10" s="16" t="n">
        <v>130.2</v>
      </c>
      <c r="I10" s="16" t="n">
        <v>300.86</v>
      </c>
      <c r="J10" s="16" t="n">
        <v>82.94</v>
      </c>
      <c r="K10" s="16" t="n">
        <v>146.49</v>
      </c>
      <c r="L10" s="16" t="n">
        <v>485.51</v>
      </c>
      <c r="M10" s="16" t="n">
        <v>339.02</v>
      </c>
      <c r="N10" s="16" t="n">
        <f aca="false">SUM(B10:M10)</f>
        <v>4040.41</v>
      </c>
    </row>
    <row r="11" customFormat="false" ht="15" hidden="false" customHeight="true" outlineLevel="0" collapsed="false">
      <c r="A11" s="1" t="s">
        <v>68</v>
      </c>
      <c r="B11" s="16" t="n">
        <v>74.47</v>
      </c>
      <c r="C11" s="16" t="n">
        <v>84.74</v>
      </c>
      <c r="D11" s="16" t="n">
        <v>75.91</v>
      </c>
      <c r="E11" s="16" t="n">
        <v>35.77</v>
      </c>
      <c r="F11" s="16" t="n">
        <v>33.53</v>
      </c>
      <c r="G11" s="16" t="n">
        <v>21.46</v>
      </c>
      <c r="H11" s="16" t="n">
        <v>16.6</v>
      </c>
      <c r="I11" s="16" t="n">
        <v>38.37</v>
      </c>
      <c r="J11" s="16" t="n">
        <v>10.58</v>
      </c>
      <c r="K11" s="16" t="n">
        <v>18.68</v>
      </c>
      <c r="L11" s="16" t="n">
        <v>61.92</v>
      </c>
      <c r="M11" s="16" t="n">
        <v>43.24</v>
      </c>
      <c r="N11" s="16" t="n">
        <f aca="false">SUM(B11:M11)</f>
        <v>515.27</v>
      </c>
    </row>
    <row r="12" customFormat="false" ht="15" hidden="false" customHeight="true" outlineLevel="0" collapsed="false">
      <c r="A12" s="1" t="s">
        <v>69</v>
      </c>
      <c r="B12" s="16" t="n">
        <v>2847.06</v>
      </c>
      <c r="C12" s="16" t="n">
        <v>3239.73</v>
      </c>
      <c r="D12" s="16" t="n">
        <v>2902.28</v>
      </c>
      <c r="E12" s="16" t="n">
        <v>1367.7</v>
      </c>
      <c r="F12" s="16" t="n">
        <v>1282.01</v>
      </c>
      <c r="G12" s="16" t="n">
        <v>820.63</v>
      </c>
      <c r="H12" s="16" t="n">
        <v>634.83</v>
      </c>
      <c r="I12" s="16" t="n">
        <v>1466.94</v>
      </c>
      <c r="J12" s="16" t="n">
        <v>404.38</v>
      </c>
      <c r="K12" s="16" t="n">
        <v>714.23</v>
      </c>
      <c r="L12" s="16" t="n">
        <v>2367.22</v>
      </c>
      <c r="M12" s="16" t="n">
        <v>1652.99</v>
      </c>
      <c r="N12" s="16" t="n">
        <f aca="false">SUM(B12:M12)</f>
        <v>19700</v>
      </c>
    </row>
    <row r="13" customFormat="false" ht="15" hidden="false" customHeight="true" outlineLevel="0" collapsed="false">
      <c r="A13" s="1" t="s">
        <v>70</v>
      </c>
      <c r="B13" s="16" t="n">
        <v>47.8</v>
      </c>
      <c r="C13" s="16" t="n">
        <v>54.4</v>
      </c>
      <c r="D13" s="16" t="n">
        <v>48.73</v>
      </c>
      <c r="E13" s="16" t="n">
        <v>22.96</v>
      </c>
      <c r="F13" s="16" t="n">
        <v>21.53</v>
      </c>
      <c r="G13" s="16" t="n">
        <v>13.78</v>
      </c>
      <c r="H13" s="16" t="n">
        <v>10.66</v>
      </c>
      <c r="I13" s="16" t="n">
        <v>24.63</v>
      </c>
      <c r="J13" s="16" t="n">
        <v>6.79</v>
      </c>
      <c r="K13" s="16" t="n">
        <v>11.99</v>
      </c>
      <c r="L13" s="16" t="n">
        <v>39.75</v>
      </c>
      <c r="M13" s="16" t="n">
        <v>27.76</v>
      </c>
      <c r="N13" s="16" t="n">
        <f aca="false">SUM(B13:M13)</f>
        <v>330.78</v>
      </c>
    </row>
    <row r="14" customFormat="false" ht="15" hidden="false" customHeight="true" outlineLevel="0" collapsed="false">
      <c r="A14" s="13" t="s">
        <v>73</v>
      </c>
      <c r="B14" s="14" t="n">
        <f aca="false">SUM(B6:B13)</f>
        <v>52046.4</v>
      </c>
      <c r="C14" s="14" t="n">
        <f aca="false">SUM(C6:C13)</f>
        <v>59224.59</v>
      </c>
      <c r="D14" s="14" t="n">
        <f aca="false">SUM(D6:D13)</f>
        <v>53055.81</v>
      </c>
      <c r="E14" s="14" t="n">
        <f aca="false">SUM(E6:E13)</f>
        <v>25002.48</v>
      </c>
      <c r="F14" s="14" t="n">
        <f aca="false">SUM(F6:F13)</f>
        <v>23436.14</v>
      </c>
      <c r="G14" s="14" t="n">
        <f aca="false">SUM(G6:G13)</f>
        <v>15001.66</v>
      </c>
      <c r="H14" s="14" t="n">
        <f aca="false">SUM(H6:H13)</f>
        <v>11605.19</v>
      </c>
      <c r="I14" s="14" t="n">
        <f aca="false">SUM(I6:I13)</f>
        <v>26816.8</v>
      </c>
      <c r="J14" s="14" t="n">
        <f aca="false">SUM(J6:J13)</f>
        <v>7392.38</v>
      </c>
      <c r="K14" s="14" t="n">
        <f aca="false">SUM(K6:K13)</f>
        <v>13056.59</v>
      </c>
      <c r="L14" s="14" t="n">
        <f aca="false">SUM(L6:L13)</f>
        <v>43274.51</v>
      </c>
      <c r="M14" s="14" t="n">
        <f aca="false">SUM(M6:M13)</f>
        <v>30217.95</v>
      </c>
      <c r="N14" s="18" t="n">
        <f aca="false">SUM(B14:M14)</f>
        <v>360130.5</v>
      </c>
    </row>
    <row r="15" customFormat="false" ht="15" hidden="false" customHeight="true" outlineLevel="0" collapsed="false">
      <c r="A15" s="13" t="s">
        <v>74</v>
      </c>
      <c r="B15" s="14" t="n">
        <f aca="false">B5-B14</f>
        <v>1423.6</v>
      </c>
      <c r="C15" s="14" t="n">
        <f aca="false">C5-C14</f>
        <v>1619.93</v>
      </c>
      <c r="D15" s="14" t="n">
        <f aca="false">D5-D14</f>
        <v>1451.19</v>
      </c>
      <c r="E15" s="14" t="n">
        <f aca="false">E5-E14</f>
        <v>683.880000000001</v>
      </c>
      <c r="F15" s="14" t="n">
        <f aca="false">F5-F14</f>
        <v>641.029999999999</v>
      </c>
      <c r="G15" s="14" t="n">
        <f aca="false">G5-G14</f>
        <v>410.33</v>
      </c>
      <c r="H15" s="14" t="n">
        <f aca="false">H5-H14</f>
        <v>317.439999999999</v>
      </c>
      <c r="I15" s="14" t="n">
        <f aca="false">I5-I14</f>
        <v>733.509999999998</v>
      </c>
      <c r="J15" s="14" t="n">
        <f aca="false">J5-J14</f>
        <v>202.19</v>
      </c>
      <c r="K15" s="14" t="n">
        <f aca="false">K5-K14</f>
        <v>357.110000000001</v>
      </c>
      <c r="L15" s="14" t="n">
        <f aca="false">L5-L14</f>
        <v>1183.65</v>
      </c>
      <c r="M15" s="14" t="n">
        <f aca="false">M5-M14</f>
        <v>826.52</v>
      </c>
      <c r="N15" s="18" t="n">
        <f aca="false">SUM(B15:M15)</f>
        <v>9850.38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95</v>
      </c>
    </row>
    <row r="2" customFormat="false" ht="15" hidden="false" customHeight="true" outlineLevel="0" collapsed="false">
      <c r="A2" s="11" t="s">
        <v>96</v>
      </c>
    </row>
    <row r="3" customFormat="false" ht="49.5" hidden="false" customHeight="true" outlineLevel="0" collapsed="false">
      <c r="A3" s="19" t="s">
        <v>97</v>
      </c>
    </row>
    <row r="4" customFormat="false" ht="26.25" hidden="false" customHeight="true" outlineLevel="0" collapsed="false">
      <c r="A4" s="12" t="s">
        <v>77</v>
      </c>
      <c r="B4" s="12" t="s">
        <v>78</v>
      </c>
      <c r="C4" s="12" t="s">
        <v>79</v>
      </c>
      <c r="D4" s="12" t="s">
        <v>80</v>
      </c>
      <c r="E4" s="12" t="s">
        <v>81</v>
      </c>
      <c r="F4" s="12" t="s">
        <v>82</v>
      </c>
      <c r="G4" s="12" t="s">
        <v>83</v>
      </c>
      <c r="H4" s="12" t="s">
        <v>84</v>
      </c>
      <c r="I4" s="12" t="s">
        <v>85</v>
      </c>
      <c r="J4" s="12" t="s">
        <v>86</v>
      </c>
      <c r="K4" s="12" t="s">
        <v>87</v>
      </c>
      <c r="L4" s="12" t="s">
        <v>88</v>
      </c>
      <c r="M4" s="12" t="s">
        <v>89</v>
      </c>
      <c r="N4" s="12" t="s">
        <v>90</v>
      </c>
    </row>
    <row r="5" customFormat="false" ht="15" hidden="false" customHeight="true" outlineLevel="0" collapsed="false">
      <c r="A5" s="17" t="s">
        <v>91</v>
      </c>
      <c r="B5" s="16" t="n">
        <v>10914.69</v>
      </c>
      <c r="C5" s="16" t="n">
        <v>10914.69</v>
      </c>
      <c r="D5" s="16" t="n">
        <v>10914.69</v>
      </c>
      <c r="E5" s="16" t="n">
        <v>10914.69</v>
      </c>
      <c r="F5" s="16" t="n">
        <v>10914.69</v>
      </c>
      <c r="G5" s="16" t="n">
        <v>10914.69</v>
      </c>
      <c r="H5" s="16" t="n">
        <v>10914.69</v>
      </c>
      <c r="I5" s="16" t="n">
        <v>10914.69</v>
      </c>
      <c r="J5" s="16" t="n">
        <v>10914.69</v>
      </c>
      <c r="K5" s="16" t="n">
        <v>10914.69</v>
      </c>
      <c r="L5" s="16" t="n">
        <v>10914.69</v>
      </c>
      <c r="M5" s="16" t="n">
        <v>10914.69</v>
      </c>
      <c r="N5" s="18" t="n">
        <f aca="false">SUM(B5:M5)</f>
        <v>130976.28</v>
      </c>
    </row>
    <row r="6" customFormat="false" ht="15" hidden="false" customHeight="true" outlineLevel="0" collapsed="false">
      <c r="A6" s="1" t="s">
        <v>58</v>
      </c>
      <c r="B6" s="16" t="n">
        <v>17.95</v>
      </c>
      <c r="C6" s="16" t="n">
        <v>17.95</v>
      </c>
      <c r="D6" s="16" t="n">
        <v>17.95</v>
      </c>
      <c r="E6" s="16" t="n">
        <v>17.95</v>
      </c>
      <c r="F6" s="16" t="n">
        <v>17.95</v>
      </c>
      <c r="G6" s="16" t="n">
        <v>17.95</v>
      </c>
      <c r="H6" s="16" t="n">
        <v>17.95</v>
      </c>
      <c r="I6" s="16" t="n">
        <v>17.95</v>
      </c>
      <c r="J6" s="16" t="n">
        <v>17.95</v>
      </c>
      <c r="K6" s="16" t="n">
        <v>17.95</v>
      </c>
      <c r="L6" s="16" t="n">
        <v>17.95</v>
      </c>
      <c r="M6" s="16" t="n">
        <v>17.95</v>
      </c>
      <c r="N6" s="16" t="n">
        <f aca="false">SUM(B6:M6)</f>
        <v>215.4</v>
      </c>
    </row>
    <row r="7" customFormat="false" ht="15" hidden="false" customHeight="true" outlineLevel="0" collapsed="false">
      <c r="A7" s="1" t="s">
        <v>62</v>
      </c>
      <c r="B7" s="16" t="n">
        <v>250.59</v>
      </c>
      <c r="C7" s="16" t="n">
        <v>250.59</v>
      </c>
      <c r="D7" s="16" t="n">
        <v>250.59</v>
      </c>
      <c r="E7" s="16" t="n">
        <v>250.59</v>
      </c>
      <c r="F7" s="16" t="n">
        <v>250.59</v>
      </c>
      <c r="G7" s="16" t="n">
        <v>250.59</v>
      </c>
      <c r="H7" s="16" t="n">
        <v>250.59</v>
      </c>
      <c r="I7" s="16" t="n">
        <v>250.59</v>
      </c>
      <c r="J7" s="16" t="n">
        <v>250.59</v>
      </c>
      <c r="K7" s="16" t="n">
        <v>250.59</v>
      </c>
      <c r="L7" s="16" t="n">
        <v>250.59</v>
      </c>
      <c r="M7" s="16" t="n">
        <v>250.59</v>
      </c>
      <c r="N7" s="16" t="n">
        <f aca="false">SUM(B7:M7)</f>
        <v>3007.08</v>
      </c>
    </row>
    <row r="8" customFormat="false" ht="15" hidden="false" customHeight="true" outlineLevel="0" collapsed="false">
      <c r="A8" s="1" t="s">
        <v>64</v>
      </c>
      <c r="B8" s="16" t="n">
        <v>61.25</v>
      </c>
      <c r="C8" s="16" t="n">
        <v>61.25</v>
      </c>
      <c r="D8" s="16" t="n">
        <v>61.25</v>
      </c>
      <c r="E8" s="16" t="n">
        <v>61.25</v>
      </c>
      <c r="F8" s="16" t="n">
        <v>61.25</v>
      </c>
      <c r="G8" s="16" t="n">
        <v>61.25</v>
      </c>
      <c r="H8" s="16" t="n">
        <v>61.25</v>
      </c>
      <c r="I8" s="16" t="n">
        <v>61.25</v>
      </c>
      <c r="J8" s="16" t="n">
        <v>61.25</v>
      </c>
      <c r="K8" s="16" t="n">
        <v>61.25</v>
      </c>
      <c r="L8" s="16" t="n">
        <v>61.25</v>
      </c>
      <c r="M8" s="16" t="n">
        <v>61.25</v>
      </c>
      <c r="N8" s="16" t="n">
        <f aca="false">SUM(B8:M8)</f>
        <v>735</v>
      </c>
    </row>
    <row r="9" customFormat="false" ht="15" hidden="false" customHeight="true" outlineLevel="0" collapsed="false">
      <c r="A9" s="1" t="s">
        <v>65</v>
      </c>
      <c r="B9" s="16" t="n">
        <v>739.46</v>
      </c>
      <c r="C9" s="16" t="n">
        <v>739.46</v>
      </c>
      <c r="D9" s="16" t="n">
        <v>739.46</v>
      </c>
      <c r="E9" s="16" t="n">
        <v>739.46</v>
      </c>
      <c r="F9" s="16" t="n">
        <v>739.46</v>
      </c>
      <c r="G9" s="16" t="n">
        <v>739.46</v>
      </c>
      <c r="H9" s="16" t="n">
        <v>739.46</v>
      </c>
      <c r="I9" s="16" t="n">
        <v>739.46</v>
      </c>
      <c r="J9" s="16" t="n">
        <v>739.46</v>
      </c>
      <c r="K9" s="16" t="n">
        <v>739.46</v>
      </c>
      <c r="L9" s="16" t="n">
        <v>739.46</v>
      </c>
      <c r="M9" s="16" t="n">
        <v>739.46</v>
      </c>
      <c r="N9" s="16" t="n">
        <f aca="false">SUM(B9:M9)</f>
        <v>8873.52</v>
      </c>
    </row>
    <row r="10" customFormat="false" ht="15" hidden="false" customHeight="true" outlineLevel="0" collapsed="false">
      <c r="A10" s="1" t="s">
        <v>67</v>
      </c>
      <c r="B10" s="16" t="n">
        <v>112.73</v>
      </c>
      <c r="C10" s="16" t="n">
        <v>112.73</v>
      </c>
      <c r="D10" s="16" t="n">
        <v>112.73</v>
      </c>
      <c r="E10" s="16" t="n">
        <v>112.73</v>
      </c>
      <c r="F10" s="16" t="n">
        <v>112.73</v>
      </c>
      <c r="G10" s="16" t="n">
        <v>112.73</v>
      </c>
      <c r="H10" s="16" t="n">
        <v>112.73</v>
      </c>
      <c r="I10" s="16" t="n">
        <v>112.73</v>
      </c>
      <c r="J10" s="16" t="n">
        <v>112.73</v>
      </c>
      <c r="K10" s="16" t="n">
        <v>112.73</v>
      </c>
      <c r="L10" s="16" t="n">
        <v>112.73</v>
      </c>
      <c r="M10" s="16" t="n">
        <v>112.73</v>
      </c>
      <c r="N10" s="16" t="n">
        <f aca="false">SUM(B10:M10)</f>
        <v>1352.76</v>
      </c>
    </row>
    <row r="11" customFormat="false" ht="15" hidden="false" customHeight="true" outlineLevel="0" collapsed="false">
      <c r="A11" s="1" t="s">
        <v>68</v>
      </c>
      <c r="B11" s="16" t="n">
        <v>8703.44</v>
      </c>
      <c r="C11" s="16" t="n">
        <v>8703.44</v>
      </c>
      <c r="D11" s="16" t="n">
        <v>8703.44</v>
      </c>
      <c r="E11" s="16" t="n">
        <v>8703.44</v>
      </c>
      <c r="F11" s="16" t="n">
        <v>8703.44</v>
      </c>
      <c r="G11" s="16" t="n">
        <v>8703.44</v>
      </c>
      <c r="H11" s="16" t="n">
        <v>8703.44</v>
      </c>
      <c r="I11" s="16" t="n">
        <v>8703.44</v>
      </c>
      <c r="J11" s="16" t="n">
        <v>8703.44</v>
      </c>
      <c r="K11" s="16" t="n">
        <v>8703.44</v>
      </c>
      <c r="L11" s="16" t="n">
        <v>8703.44</v>
      </c>
      <c r="M11" s="16" t="n">
        <v>8703.44</v>
      </c>
      <c r="N11" s="16" t="n">
        <f aca="false">SUM(B11:M11)</f>
        <v>104441.28</v>
      </c>
    </row>
    <row r="12" customFormat="false" ht="15" hidden="false" customHeight="true" outlineLevel="0" collapsed="false">
      <c r="A12" s="1" t="s">
        <v>69</v>
      </c>
      <c r="B12" s="16" t="n">
        <v>1458.33</v>
      </c>
      <c r="C12" s="16" t="n">
        <v>1458.33</v>
      </c>
      <c r="D12" s="16" t="n">
        <v>1458.33</v>
      </c>
      <c r="E12" s="16" t="n">
        <v>1458.33</v>
      </c>
      <c r="F12" s="16" t="n">
        <v>1458.33</v>
      </c>
      <c r="G12" s="16" t="n">
        <v>1458.33</v>
      </c>
      <c r="H12" s="16" t="n">
        <v>1458.33</v>
      </c>
      <c r="I12" s="16" t="n">
        <v>1458.33</v>
      </c>
      <c r="J12" s="16" t="n">
        <v>1458.33</v>
      </c>
      <c r="K12" s="16" t="n">
        <v>1458.33</v>
      </c>
      <c r="L12" s="16" t="n">
        <v>1458.33</v>
      </c>
      <c r="M12" s="16" t="n">
        <v>1458.33</v>
      </c>
      <c r="N12" s="16" t="n">
        <f aca="false">SUM(B12:M12)</f>
        <v>17499.96</v>
      </c>
    </row>
    <row r="13" customFormat="false" ht="15" hidden="false" customHeight="true" outlineLevel="0" collapsed="false">
      <c r="A13" s="1" t="s">
        <v>70</v>
      </c>
      <c r="B13" s="16" t="n">
        <v>126.66</v>
      </c>
      <c r="C13" s="16" t="n">
        <v>126.66</v>
      </c>
      <c r="D13" s="16" t="n">
        <v>126.66</v>
      </c>
      <c r="E13" s="16" t="n">
        <v>126.66</v>
      </c>
      <c r="F13" s="16" t="n">
        <v>126.66</v>
      </c>
      <c r="G13" s="16" t="n">
        <v>126.66</v>
      </c>
      <c r="H13" s="16" t="n">
        <v>126.66</v>
      </c>
      <c r="I13" s="16" t="n">
        <v>126.66</v>
      </c>
      <c r="J13" s="16" t="n">
        <v>126.66</v>
      </c>
      <c r="K13" s="16" t="n">
        <v>126.66</v>
      </c>
      <c r="L13" s="16" t="n">
        <v>126.66</v>
      </c>
      <c r="M13" s="16" t="n">
        <v>126.66</v>
      </c>
      <c r="N13" s="16" t="n">
        <f aca="false">SUM(B13:M13)</f>
        <v>1519.92</v>
      </c>
    </row>
    <row r="14" customFormat="false" ht="15" hidden="false" customHeight="true" outlineLevel="0" collapsed="false">
      <c r="A14" s="1" t="s">
        <v>71</v>
      </c>
      <c r="B14" s="16" t="n">
        <v>19.22</v>
      </c>
      <c r="C14" s="16" t="n">
        <v>19.22</v>
      </c>
      <c r="D14" s="16" t="n">
        <v>19.22</v>
      </c>
      <c r="E14" s="16" t="n">
        <v>19.22</v>
      </c>
      <c r="F14" s="16" t="n">
        <v>19.22</v>
      </c>
      <c r="G14" s="16" t="n">
        <v>19.22</v>
      </c>
      <c r="H14" s="16" t="n">
        <v>19.22</v>
      </c>
      <c r="I14" s="16" t="n">
        <v>19.22</v>
      </c>
      <c r="J14" s="16" t="n">
        <v>19.22</v>
      </c>
      <c r="K14" s="16" t="n">
        <v>19.22</v>
      </c>
      <c r="L14" s="16" t="n">
        <v>19.22</v>
      </c>
      <c r="M14" s="16" t="n">
        <v>19.22</v>
      </c>
      <c r="N14" s="16" t="n">
        <f aca="false">SUM(B14:M14)</f>
        <v>230.64</v>
      </c>
    </row>
    <row r="15" customFormat="false" ht="15" hidden="false" customHeight="true" outlineLevel="0" collapsed="false">
      <c r="A15" s="13" t="s">
        <v>73</v>
      </c>
      <c r="B15" s="14" t="n">
        <f aca="false">SUM(B6:B14)</f>
        <v>11489.63</v>
      </c>
      <c r="C15" s="14" t="n">
        <f aca="false">SUM(C6:C14)</f>
        <v>11489.63</v>
      </c>
      <c r="D15" s="14" t="n">
        <f aca="false">SUM(D6:D14)</f>
        <v>11489.63</v>
      </c>
      <c r="E15" s="14" t="n">
        <f aca="false">SUM(E6:E14)</f>
        <v>11489.63</v>
      </c>
      <c r="F15" s="14" t="n">
        <f aca="false">SUM(F6:F14)</f>
        <v>11489.63</v>
      </c>
      <c r="G15" s="14" t="n">
        <f aca="false">SUM(G6:G14)</f>
        <v>11489.63</v>
      </c>
      <c r="H15" s="14" t="n">
        <f aca="false">SUM(H6:H14)</f>
        <v>11489.63</v>
      </c>
      <c r="I15" s="14" t="n">
        <f aca="false">SUM(I6:I14)</f>
        <v>11489.63</v>
      </c>
      <c r="J15" s="14" t="n">
        <f aca="false">SUM(J6:J14)</f>
        <v>11489.63</v>
      </c>
      <c r="K15" s="14" t="n">
        <f aca="false">SUM(K6:K14)</f>
        <v>11489.63</v>
      </c>
      <c r="L15" s="14" t="n">
        <f aca="false">SUM(L6:L14)</f>
        <v>11489.63</v>
      </c>
      <c r="M15" s="14" t="n">
        <f aca="false">SUM(M6:M14)</f>
        <v>11489.63</v>
      </c>
      <c r="N15" s="18" t="n">
        <f aca="false">SUM(B15:M15)</f>
        <v>137875.56</v>
      </c>
    </row>
    <row r="16" customFormat="false" ht="15" hidden="false" customHeight="true" outlineLevel="0" collapsed="false">
      <c r="A16" s="13" t="s">
        <v>74</v>
      </c>
      <c r="B16" s="14" t="n">
        <f aca="false">B5-B15</f>
        <v>-574.940000000001</v>
      </c>
      <c r="C16" s="14" t="n">
        <f aca="false">C5-C15</f>
        <v>-574.940000000001</v>
      </c>
      <c r="D16" s="14" t="n">
        <f aca="false">D5-D15</f>
        <v>-574.940000000001</v>
      </c>
      <c r="E16" s="14" t="n">
        <f aca="false">E5-E15</f>
        <v>-574.940000000001</v>
      </c>
      <c r="F16" s="14" t="n">
        <f aca="false">F5-F15</f>
        <v>-574.940000000001</v>
      </c>
      <c r="G16" s="14" t="n">
        <f aca="false">G5-G15</f>
        <v>-574.940000000001</v>
      </c>
      <c r="H16" s="14" t="n">
        <f aca="false">H5-H15</f>
        <v>-574.940000000001</v>
      </c>
      <c r="I16" s="14" t="n">
        <f aca="false">I5-I15</f>
        <v>-574.940000000001</v>
      </c>
      <c r="J16" s="14" t="n">
        <f aca="false">J5-J15</f>
        <v>-574.940000000001</v>
      </c>
      <c r="K16" s="14" t="n">
        <f aca="false">K5-K15</f>
        <v>-574.940000000001</v>
      </c>
      <c r="L16" s="14" t="n">
        <f aca="false">L5-L15</f>
        <v>-574.940000000001</v>
      </c>
      <c r="M16" s="14" t="n">
        <f aca="false">M5-M15</f>
        <v>-574.940000000001</v>
      </c>
      <c r="N16" s="18" t="n">
        <f aca="false">SUM(B16:M16)</f>
        <v>-6899.28000000001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6" min="2" style="0" width="16"/>
    <col collapsed="false" customWidth="true" hidden="false" outlineLevel="0" max="7" min="7" style="0" width="34"/>
  </cols>
  <sheetData>
    <row r="1" customFormat="false" ht="17.35" hidden="false" customHeight="false" outlineLevel="0" collapsed="false">
      <c r="A1" s="20" t="s">
        <v>98</v>
      </c>
    </row>
    <row r="2" customFormat="false" ht="30" hidden="false" customHeight="true" outlineLevel="0" collapsed="false">
      <c r="A2" s="21" t="s">
        <v>99</v>
      </c>
    </row>
    <row r="4" customFormat="false" ht="27.75" hidden="false" customHeight="true" outlineLevel="0" collapsed="false">
      <c r="A4" s="22" t="s">
        <v>100</v>
      </c>
      <c r="B4" s="22" t="s">
        <v>101</v>
      </c>
      <c r="C4" s="22" t="s">
        <v>102</v>
      </c>
      <c r="D4" s="22" t="s">
        <v>103</v>
      </c>
      <c r="E4" s="22" t="s">
        <v>104</v>
      </c>
      <c r="F4" s="22" t="s">
        <v>105</v>
      </c>
      <c r="G4" s="22" t="s">
        <v>106</v>
      </c>
    </row>
    <row r="5" customFormat="false" ht="15" hidden="false" customHeight="false" outlineLevel="0" collapsed="false">
      <c r="A5" s="23" t="s">
        <v>107</v>
      </c>
      <c r="B5" s="24" t="n">
        <v>324.04</v>
      </c>
      <c r="C5" s="24" t="n">
        <v>17285.65</v>
      </c>
      <c r="D5" s="24" t="n">
        <v>15856.16</v>
      </c>
      <c r="E5" s="24" t="n">
        <f aca="false">C5-D5</f>
        <v>1429.49</v>
      </c>
      <c r="F5" s="24" t="n">
        <f aca="false">B5+E5</f>
        <v>1753.53</v>
      </c>
      <c r="G5" s="25" t="s">
        <v>108</v>
      </c>
    </row>
    <row r="6" customFormat="false" ht="15" hidden="false" customHeight="false" outlineLevel="0" collapsed="false">
      <c r="A6" s="23" t="s">
        <v>109</v>
      </c>
      <c r="B6" s="24" t="n">
        <f aca="false">F5</f>
        <v>1753.53</v>
      </c>
      <c r="C6" s="24" t="n">
        <v>76176.24</v>
      </c>
      <c r="D6" s="24" t="n">
        <v>77200.51</v>
      </c>
      <c r="E6" s="24" t="n">
        <f aca="false">C6-D6</f>
        <v>-1024.26999999999</v>
      </c>
      <c r="F6" s="24" t="n">
        <f aca="false">B6+E6</f>
        <v>729.260000000012</v>
      </c>
      <c r="G6" s="25" t="s">
        <v>110</v>
      </c>
    </row>
    <row r="7" customFormat="false" ht="15" hidden="false" customHeight="false" outlineLevel="0" collapsed="false">
      <c r="A7" s="23" t="s">
        <v>111</v>
      </c>
      <c r="B7" s="24" t="n">
        <f aca="false">F6</f>
        <v>729.260000000012</v>
      </c>
      <c r="C7" s="24" t="n">
        <v>55123.29</v>
      </c>
      <c r="D7" s="24" t="n">
        <v>55659.73</v>
      </c>
      <c r="E7" s="24" t="n">
        <f aca="false">C7-D7</f>
        <v>-536.440000000002</v>
      </c>
      <c r="F7" s="24" t="n">
        <f aca="false">B7+E7</f>
        <v>192.82000000001</v>
      </c>
      <c r="G7" s="25" t="s">
        <v>112</v>
      </c>
    </row>
    <row r="9" customFormat="false" ht="34.5" hidden="false" customHeight="true" outlineLevel="0" collapsed="false">
      <c r="A9" s="26" t="s">
        <v>113</v>
      </c>
      <c r="B9" s="26"/>
      <c r="C9" s="26"/>
      <c r="D9" s="26"/>
      <c r="E9" s="26"/>
      <c r="F9" s="26"/>
      <c r="G9" s="26"/>
    </row>
    <row r="10" customFormat="false" ht="15" hidden="false" customHeight="false" outlineLevel="0" collapsed="false">
      <c r="A10" s="26"/>
      <c r="B10" s="26"/>
      <c r="C10" s="26"/>
      <c r="D10" s="26"/>
      <c r="E10" s="26"/>
      <c r="F10" s="26"/>
      <c r="G10" s="26"/>
    </row>
  </sheetData>
  <mergeCells count="1">
    <mergeCell ref="A9: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114</v>
      </c>
    </row>
    <row r="2" customFormat="false" ht="15" hidden="false" customHeight="true" outlineLevel="0" collapsed="false">
      <c r="A2" s="11" t="s">
        <v>115</v>
      </c>
    </row>
    <row r="4" customFormat="false" ht="26.25" hidden="false" customHeight="true" outlineLevel="0" collapsed="false">
      <c r="A4" s="12" t="s">
        <v>100</v>
      </c>
      <c r="B4" s="12" t="s">
        <v>101</v>
      </c>
      <c r="C4" s="12" t="s">
        <v>102</v>
      </c>
      <c r="D4" s="12" t="s">
        <v>103</v>
      </c>
      <c r="E4" s="12" t="s">
        <v>104</v>
      </c>
      <c r="F4" s="12" t="s">
        <v>105</v>
      </c>
      <c r="G4" s="12" t="s">
        <v>106</v>
      </c>
    </row>
    <row r="5" customFormat="false" ht="15" hidden="false" customHeight="true" outlineLevel="0" collapsed="false">
      <c r="A5" s="27" t="s">
        <v>78</v>
      </c>
      <c r="B5" s="16" t="n">
        <v>192.82</v>
      </c>
      <c r="C5" s="16" t="n">
        <v>33195.53</v>
      </c>
      <c r="D5" s="16" t="n">
        <v>24982.18</v>
      </c>
      <c r="E5" s="16" t="n">
        <f aca="false">C5-D5</f>
        <v>8213.35</v>
      </c>
      <c r="F5" s="16" t="n">
        <v>8406.17</v>
      </c>
      <c r="G5" s="28" t="s">
        <v>116</v>
      </c>
    </row>
    <row r="6" customFormat="false" ht="15" hidden="false" customHeight="true" outlineLevel="0" collapsed="false">
      <c r="A6" s="27" t="s">
        <v>79</v>
      </c>
      <c r="B6" s="29" t="n">
        <v>8406.17</v>
      </c>
      <c r="C6" s="30" t="n">
        <v>28949.79</v>
      </c>
      <c r="D6" s="30" t="n">
        <v>36773.94</v>
      </c>
      <c r="E6" s="29" t="n">
        <f aca="false">C6-D6</f>
        <v>-7824.15</v>
      </c>
      <c r="F6" s="29" t="n">
        <v>582.02</v>
      </c>
      <c r="G6" s="28" t="s">
        <v>117</v>
      </c>
    </row>
    <row r="7" customFormat="false" ht="15" hidden="false" customHeight="true" outlineLevel="0" collapsed="false">
      <c r="A7" s="27" t="s">
        <v>80</v>
      </c>
      <c r="B7" s="16" t="n">
        <v>582.02</v>
      </c>
      <c r="C7" s="16" t="n">
        <v>36110</v>
      </c>
      <c r="D7" s="16" t="n">
        <v>18088.77</v>
      </c>
      <c r="E7" s="16" t="n">
        <f aca="false">C7-D7</f>
        <v>18021.23</v>
      </c>
      <c r="F7" s="16" t="n">
        <v>18603.25</v>
      </c>
      <c r="G7" s="28" t="s">
        <v>118</v>
      </c>
    </row>
    <row r="8" customFormat="false" ht="15" hidden="false" customHeight="true" outlineLevel="0" collapsed="false">
      <c r="A8" s="27" t="s">
        <v>81</v>
      </c>
      <c r="B8" s="16" t="n">
        <v>18603.25</v>
      </c>
      <c r="C8" s="16" t="n">
        <v>90978.23</v>
      </c>
      <c r="D8" s="16" t="n">
        <v>97180.4</v>
      </c>
      <c r="E8" s="16" t="n">
        <f aca="false">C8-D8</f>
        <v>-6202.17</v>
      </c>
      <c r="F8" s="16" t="n">
        <v>12401.08</v>
      </c>
      <c r="G8" s="28" t="s">
        <v>119</v>
      </c>
    </row>
    <row r="9" customFormat="false" ht="15" hidden="false" customHeight="true" outlineLevel="0" collapsed="false">
      <c r="A9" s="27" t="s">
        <v>82</v>
      </c>
      <c r="B9" s="16" t="n">
        <v>12401.08</v>
      </c>
      <c r="C9" s="16" t="n">
        <v>126460.06</v>
      </c>
      <c r="D9" s="16" t="n">
        <v>138358.03</v>
      </c>
      <c r="E9" s="16" t="n">
        <f aca="false">C9-D9</f>
        <v>-11897.97</v>
      </c>
      <c r="F9" s="16" t="n">
        <v>503.11</v>
      </c>
      <c r="G9" s="28" t="s">
        <v>120</v>
      </c>
    </row>
    <row r="10" customFormat="false" ht="15" hidden="false" customHeight="true" outlineLevel="0" collapsed="false">
      <c r="A10" s="27" t="s">
        <v>83</v>
      </c>
      <c r="B10" s="16" t="n">
        <v>503.11</v>
      </c>
      <c r="C10" s="16" t="n">
        <v>93188.04</v>
      </c>
      <c r="D10" s="16" t="n">
        <v>90137.39</v>
      </c>
      <c r="E10" s="16" t="n">
        <f aca="false">C10-D10</f>
        <v>3050.64999999999</v>
      </c>
      <c r="F10" s="16" t="n">
        <v>3553.76</v>
      </c>
      <c r="G10" s="28" t="s">
        <v>121</v>
      </c>
    </row>
    <row r="11" customFormat="false" ht="15" hidden="false" customHeight="true" outlineLevel="0" collapsed="false">
      <c r="A11" s="27" t="s">
        <v>84</v>
      </c>
      <c r="B11" s="16" t="n">
        <v>3553.76</v>
      </c>
      <c r="C11" s="16" t="n">
        <v>125576.78</v>
      </c>
      <c r="D11" s="16" t="n">
        <v>98074.5</v>
      </c>
      <c r="E11" s="16" t="n">
        <f aca="false">C11-D11</f>
        <v>27502.28</v>
      </c>
      <c r="F11" s="16" t="n">
        <v>31056.04</v>
      </c>
      <c r="G11" s="28" t="s">
        <v>122</v>
      </c>
    </row>
    <row r="12" customFormat="false" ht="15" hidden="false" customHeight="true" outlineLevel="0" collapsed="false">
      <c r="A12" s="27" t="s">
        <v>85</v>
      </c>
      <c r="B12" s="16" t="n">
        <v>31056.04</v>
      </c>
      <c r="C12" s="16" t="n">
        <v>62042.22</v>
      </c>
      <c r="D12" s="16" t="n">
        <v>88975.34</v>
      </c>
      <c r="E12" s="16" t="n">
        <f aca="false">C12-D12</f>
        <v>-26933.12</v>
      </c>
      <c r="F12" s="16" t="n">
        <v>4122.92</v>
      </c>
      <c r="G12" s="28" t="s">
        <v>123</v>
      </c>
    </row>
    <row r="13" customFormat="false" ht="15" hidden="false" customHeight="true" outlineLevel="0" collapsed="false">
      <c r="A13" s="27" t="s">
        <v>86</v>
      </c>
      <c r="B13" s="16" t="n">
        <v>4122.92</v>
      </c>
      <c r="C13" s="16" t="n">
        <v>125305.86</v>
      </c>
      <c r="D13" s="16" t="n">
        <v>117280.54</v>
      </c>
      <c r="E13" s="16" t="n">
        <f aca="false">C13-D13</f>
        <v>8025.32000000001</v>
      </c>
      <c r="F13" s="16" t="n">
        <v>12148.24</v>
      </c>
      <c r="G13" s="28" t="s">
        <v>124</v>
      </c>
    </row>
    <row r="14" customFormat="false" ht="15" hidden="false" customHeight="true" outlineLevel="0" collapsed="false">
      <c r="A14" s="27" t="s">
        <v>87</v>
      </c>
      <c r="B14" s="16" t="n">
        <v>12148.24</v>
      </c>
      <c r="C14" s="16" t="n">
        <v>48705.65</v>
      </c>
      <c r="D14" s="16" t="n">
        <v>53711.03</v>
      </c>
      <c r="E14" s="16" t="n">
        <f aca="false">C14-D14</f>
        <v>-5005.38</v>
      </c>
      <c r="F14" s="16" t="n">
        <v>7142.86</v>
      </c>
      <c r="G14" s="28" t="s">
        <v>125</v>
      </c>
    </row>
    <row r="15" customFormat="false" ht="15" hidden="false" customHeight="true" outlineLevel="0" collapsed="false">
      <c r="A15" s="27" t="s">
        <v>88</v>
      </c>
      <c r="B15" s="16" t="n">
        <v>7142.86</v>
      </c>
      <c r="C15" s="16" t="n">
        <v>31367.72</v>
      </c>
      <c r="D15" s="16" t="n">
        <v>32303.98</v>
      </c>
      <c r="E15" s="16" t="n">
        <f aca="false">C15-D15</f>
        <v>-936.259999999998</v>
      </c>
      <c r="F15" s="16" t="n">
        <v>6206.6</v>
      </c>
      <c r="G15" s="28" t="s">
        <v>126</v>
      </c>
    </row>
    <row r="16" customFormat="false" ht="15" hidden="false" customHeight="true" outlineLevel="0" collapsed="false">
      <c r="A16" s="27" t="s">
        <v>89</v>
      </c>
      <c r="B16" s="29" t="n">
        <v>6206.6</v>
      </c>
      <c r="C16" s="30" t="n">
        <v>93874.24</v>
      </c>
      <c r="D16" s="30" t="n">
        <v>92689.04</v>
      </c>
      <c r="E16" s="29" t="n">
        <f aca="false">C16-D16</f>
        <v>1185.20000000001</v>
      </c>
      <c r="F16" s="29" t="n">
        <v>7391.8</v>
      </c>
      <c r="G16" s="28" t="s">
        <v>127</v>
      </c>
    </row>
    <row r="18" customFormat="false" ht="45" hidden="false" customHeight="true" outlineLevel="0" collapsed="false">
      <c r="A18" s="31" t="s">
        <v>128</v>
      </c>
      <c r="B18" s="31"/>
      <c r="C18" s="31"/>
      <c r="D18" s="31"/>
      <c r="E18" s="31"/>
      <c r="F18" s="31"/>
      <c r="G18" s="31"/>
    </row>
    <row r="19" customFormat="false" ht="15" hidden="false" customHeight="false" outlineLevel="0" collapsed="false">
      <c r="A19" s="31"/>
      <c r="B19" s="31"/>
      <c r="C19" s="31"/>
      <c r="D19" s="31"/>
      <c r="E19" s="31"/>
      <c r="F19" s="31"/>
      <c r="G19" s="31"/>
    </row>
  </sheetData>
  <mergeCells count="1">
    <mergeCell ref="A18: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129</v>
      </c>
    </row>
    <row r="2" customFormat="false" ht="15" hidden="false" customHeight="true" outlineLevel="0" collapsed="false">
      <c r="A2" s="11" t="s">
        <v>130</v>
      </c>
    </row>
    <row r="4" customFormat="false" ht="26.25" hidden="false" customHeight="true" outlineLevel="0" collapsed="false">
      <c r="A4" s="12" t="s">
        <v>100</v>
      </c>
      <c r="B4" s="12" t="s">
        <v>101</v>
      </c>
      <c r="C4" s="12" t="s">
        <v>102</v>
      </c>
      <c r="D4" s="12" t="s">
        <v>103</v>
      </c>
      <c r="E4" s="12" t="s">
        <v>104</v>
      </c>
      <c r="F4" s="12" t="s">
        <v>105</v>
      </c>
      <c r="G4" s="12" t="s">
        <v>106</v>
      </c>
    </row>
    <row r="5" customFormat="false" ht="15" hidden="false" customHeight="true" outlineLevel="0" collapsed="false">
      <c r="A5" s="27" t="s">
        <v>78</v>
      </c>
      <c r="B5" s="27" t="s">
        <v>131</v>
      </c>
      <c r="C5" s="27" t="s">
        <v>131</v>
      </c>
      <c r="D5" s="27" t="s">
        <v>131</v>
      </c>
      <c r="E5" s="27" t="s">
        <v>131</v>
      </c>
      <c r="F5" s="16" t="n">
        <v>693</v>
      </c>
      <c r="G5" s="28" t="s">
        <v>132</v>
      </c>
    </row>
    <row r="6" customFormat="false" ht="15" hidden="false" customHeight="true" outlineLevel="0" collapsed="false">
      <c r="A6" s="27" t="s">
        <v>79</v>
      </c>
      <c r="B6" s="16" t="n">
        <v>693</v>
      </c>
      <c r="C6" s="16" t="n">
        <v>25807.71</v>
      </c>
      <c r="D6" s="16" t="n">
        <v>21375.56</v>
      </c>
      <c r="E6" s="16" t="n">
        <f aca="false">C6-D6</f>
        <v>4432.15</v>
      </c>
      <c r="F6" s="16" t="n">
        <v>5125.15</v>
      </c>
      <c r="G6" s="28" t="s">
        <v>133</v>
      </c>
    </row>
    <row r="7" customFormat="false" ht="15" hidden="false" customHeight="true" outlineLevel="0" collapsed="false">
      <c r="A7" s="27" t="s">
        <v>80</v>
      </c>
      <c r="B7" s="16" t="n">
        <v>5125.15</v>
      </c>
      <c r="C7" s="16" t="n">
        <v>48804.03</v>
      </c>
      <c r="D7" s="16" t="n">
        <v>46427.94</v>
      </c>
      <c r="E7" s="16" t="n">
        <f aca="false">C7-D7</f>
        <v>2376.09</v>
      </c>
      <c r="F7" s="16" t="n">
        <v>7501.24</v>
      </c>
      <c r="G7" s="28" t="s">
        <v>134</v>
      </c>
    </row>
    <row r="8" customFormat="false" ht="15" hidden="false" customHeight="true" outlineLevel="0" collapsed="false">
      <c r="A8" s="27" t="s">
        <v>81</v>
      </c>
      <c r="B8" s="16" t="n">
        <v>7501.24</v>
      </c>
      <c r="C8" s="16" t="n">
        <v>81007.82</v>
      </c>
      <c r="D8" s="16" t="n">
        <v>75223.4</v>
      </c>
      <c r="E8" s="16" t="n">
        <f aca="false">C8-D8</f>
        <v>5784.42000000001</v>
      </c>
      <c r="F8" s="16" t="n">
        <v>13285.66</v>
      </c>
      <c r="G8" s="28" t="s">
        <v>135</v>
      </c>
    </row>
    <row r="9" customFormat="false" ht="15" hidden="false" customHeight="true" outlineLevel="0" collapsed="false">
      <c r="A9" s="27" t="s">
        <v>82</v>
      </c>
      <c r="B9" s="16" t="n">
        <v>13285.66</v>
      </c>
      <c r="C9" s="16" t="n">
        <v>25030.84</v>
      </c>
      <c r="D9" s="16" t="n">
        <v>38225.46</v>
      </c>
      <c r="E9" s="16" t="n">
        <f aca="false">C9-D9</f>
        <v>-13194.62</v>
      </c>
      <c r="F9" s="16" t="n">
        <v>91.04</v>
      </c>
      <c r="G9" s="28" t="s">
        <v>136</v>
      </c>
    </row>
    <row r="10" customFormat="false" ht="15" hidden="false" customHeight="true" outlineLevel="0" collapsed="false">
      <c r="A10" s="27" t="s">
        <v>83</v>
      </c>
      <c r="B10" s="16" t="n">
        <v>91.04</v>
      </c>
      <c r="C10" s="16" t="n">
        <v>27815.44</v>
      </c>
      <c r="D10" s="16" t="n">
        <v>25429.62</v>
      </c>
      <c r="E10" s="16" t="n">
        <f aca="false">C10-D10</f>
        <v>2385.82</v>
      </c>
      <c r="F10" s="16" t="n">
        <v>2476.86</v>
      </c>
      <c r="G10" s="28" t="s">
        <v>137</v>
      </c>
    </row>
    <row r="11" customFormat="false" ht="15" hidden="false" customHeight="true" outlineLevel="0" collapsed="false">
      <c r="A11" s="27" t="s">
        <v>84</v>
      </c>
      <c r="B11" s="29" t="n">
        <v>2476.86</v>
      </c>
      <c r="C11" s="30" t="n">
        <v>26203.28</v>
      </c>
      <c r="D11" s="30" t="n">
        <v>28211.71</v>
      </c>
      <c r="E11" s="29" t="n">
        <f aca="false">C11-D11</f>
        <v>-2008.43</v>
      </c>
      <c r="F11" s="29" t="n">
        <v>468.43</v>
      </c>
      <c r="G11" s="28" t="s">
        <v>138</v>
      </c>
    </row>
    <row r="12" customFormat="false" ht="15" hidden="false" customHeight="true" outlineLevel="0" collapsed="false">
      <c r="A12" s="27" t="s">
        <v>85</v>
      </c>
      <c r="B12" s="16" t="n">
        <v>468.43</v>
      </c>
      <c r="C12" s="16" t="n">
        <v>13030.68</v>
      </c>
      <c r="D12" s="16" t="n">
        <v>11219.9</v>
      </c>
      <c r="E12" s="16" t="n">
        <f aca="false">C12-D12</f>
        <v>1810.78</v>
      </c>
      <c r="F12" s="16" t="n">
        <v>2279.21</v>
      </c>
      <c r="G12" s="28" t="s">
        <v>139</v>
      </c>
    </row>
    <row r="13" customFormat="false" ht="15" hidden="false" customHeight="true" outlineLevel="0" collapsed="false">
      <c r="A13" s="27" t="s">
        <v>86</v>
      </c>
      <c r="B13" s="16" t="n">
        <v>2279.21</v>
      </c>
      <c r="C13" s="16" t="n">
        <v>14740.57</v>
      </c>
      <c r="D13" s="16" t="n">
        <v>16268.14</v>
      </c>
      <c r="E13" s="16" t="n">
        <f aca="false">C13-D13</f>
        <v>-1527.57</v>
      </c>
      <c r="F13" s="16" t="n">
        <v>751.64</v>
      </c>
      <c r="G13" s="28" t="s">
        <v>140</v>
      </c>
    </row>
    <row r="14" customFormat="false" ht="15" hidden="false" customHeight="true" outlineLevel="0" collapsed="false">
      <c r="A14" s="27" t="s">
        <v>87</v>
      </c>
      <c r="B14" s="16" t="n">
        <v>751.64</v>
      </c>
      <c r="C14" s="16" t="n">
        <v>17349.91</v>
      </c>
      <c r="D14" s="16" t="n">
        <v>13473.34</v>
      </c>
      <c r="E14" s="16" t="n">
        <f aca="false">C14-D14</f>
        <v>3876.57</v>
      </c>
      <c r="F14" s="16" t="n">
        <v>4628.21</v>
      </c>
      <c r="G14" s="28" t="s">
        <v>141</v>
      </c>
    </row>
    <row r="15" customFormat="false" ht="15" hidden="false" customHeight="true" outlineLevel="0" collapsed="false">
      <c r="A15" s="27" t="s">
        <v>88</v>
      </c>
      <c r="B15" s="16" t="n">
        <v>4628.21</v>
      </c>
      <c r="C15" s="16" t="n">
        <v>26217.23</v>
      </c>
      <c r="D15" s="16" t="n">
        <v>15394.51</v>
      </c>
      <c r="E15" s="16" t="n">
        <f aca="false">C15-D15</f>
        <v>10822.72</v>
      </c>
      <c r="F15" s="16" t="n">
        <v>15450.93</v>
      </c>
      <c r="G15" s="28" t="s">
        <v>142</v>
      </c>
    </row>
    <row r="16" customFormat="false" ht="15" hidden="false" customHeight="true" outlineLevel="0" collapsed="false">
      <c r="A16" s="27" t="s">
        <v>89</v>
      </c>
      <c r="B16" s="16" t="n">
        <v>15450.93</v>
      </c>
      <c r="C16" s="16" t="n">
        <v>63280.36</v>
      </c>
      <c r="D16" s="16" t="n">
        <v>68880.9</v>
      </c>
      <c r="E16" s="16" t="n">
        <f aca="false">C16-D16</f>
        <v>-5600.53999999999</v>
      </c>
      <c r="F16" s="16" t="n">
        <v>9850.39</v>
      </c>
      <c r="G16" s="28"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144</v>
      </c>
    </row>
    <row r="2" customFormat="false" ht="15" hidden="false" customHeight="true" outlineLevel="0" collapsed="false">
      <c r="A2" s="11" t="s">
        <v>145</v>
      </c>
    </row>
    <row r="4" customFormat="false" ht="26.25" hidden="false" customHeight="true" outlineLevel="0" collapsed="false">
      <c r="A4" s="12" t="s">
        <v>100</v>
      </c>
      <c r="B4" s="12" t="s">
        <v>101</v>
      </c>
      <c r="C4" s="12" t="s">
        <v>102</v>
      </c>
      <c r="D4" s="12" t="s">
        <v>103</v>
      </c>
      <c r="E4" s="12" t="s">
        <v>104</v>
      </c>
      <c r="F4" s="12" t="s">
        <v>105</v>
      </c>
      <c r="G4" s="12" t="s">
        <v>106</v>
      </c>
    </row>
    <row r="5" customFormat="false" ht="15" hidden="false" customHeight="true" outlineLevel="0" collapsed="false">
      <c r="A5" s="27" t="s">
        <v>78</v>
      </c>
      <c r="B5" s="16" t="n">
        <v>9850.39</v>
      </c>
      <c r="C5" s="16" t="n">
        <v>24334.49</v>
      </c>
      <c r="D5" s="16" t="n">
        <v>26135.5</v>
      </c>
      <c r="E5" s="16" t="n">
        <f aca="false">C5-D5</f>
        <v>-1801.01</v>
      </c>
      <c r="F5" s="16" t="n">
        <v>8049.38</v>
      </c>
      <c r="G5" s="28" t="s">
        <v>146</v>
      </c>
    </row>
    <row r="6" customFormat="false" ht="15" hidden="false" customHeight="true" outlineLevel="0" collapsed="false">
      <c r="A6" s="27" t="s">
        <v>79</v>
      </c>
      <c r="B6" s="16" t="n">
        <v>8049.38</v>
      </c>
      <c r="C6" s="16" t="n">
        <v>23423.13</v>
      </c>
      <c r="D6" s="16" t="n">
        <v>28509.44</v>
      </c>
      <c r="E6" s="16" t="n">
        <f aca="false">C6-D6</f>
        <v>-5086.31</v>
      </c>
      <c r="F6" s="16" t="n">
        <v>2963.07</v>
      </c>
      <c r="G6" s="28" t="s">
        <v>147</v>
      </c>
    </row>
    <row r="7" customFormat="false" ht="15" hidden="false" customHeight="true" outlineLevel="0" collapsed="false">
      <c r="A7" s="27" t="s">
        <v>80</v>
      </c>
      <c r="B7" s="16" t="n">
        <v>2963.07</v>
      </c>
      <c r="C7" s="16" t="n">
        <v>9789.14</v>
      </c>
      <c r="D7" s="16" t="n">
        <v>12172.75</v>
      </c>
      <c r="E7" s="16" t="n">
        <f aca="false">C7-D7</f>
        <v>-2383.61</v>
      </c>
      <c r="F7" s="16" t="n">
        <v>579.46</v>
      </c>
      <c r="G7" s="28" t="s">
        <v>148</v>
      </c>
    </row>
    <row r="8" customFormat="false" ht="15" hidden="false" customHeight="true" outlineLevel="0" collapsed="false">
      <c r="A8" s="27" t="s">
        <v>81</v>
      </c>
      <c r="B8" s="16" t="n">
        <v>579.46</v>
      </c>
      <c r="C8" s="16" t="n">
        <v>10017.23</v>
      </c>
      <c r="D8" s="16" t="n">
        <v>7676.37</v>
      </c>
      <c r="E8" s="16" t="n">
        <f aca="false">C8-D8</f>
        <v>2340.86</v>
      </c>
      <c r="F8" s="16" t="n">
        <v>2920.32</v>
      </c>
      <c r="G8" s="28" t="s">
        <v>149</v>
      </c>
    </row>
    <row r="9" customFormat="false" ht="15" hidden="false" customHeight="true" outlineLevel="0" collapsed="false">
      <c r="A9" s="27" t="s">
        <v>82</v>
      </c>
      <c r="B9" s="16" t="n">
        <v>2920.32</v>
      </c>
      <c r="C9" s="16" t="n">
        <v>14692.68</v>
      </c>
      <c r="D9" s="16" t="n">
        <v>14041.14</v>
      </c>
      <c r="E9" s="16" t="n">
        <f aca="false">C9-D9</f>
        <v>651.540000000001</v>
      </c>
      <c r="F9" s="16" t="n">
        <v>3571.86</v>
      </c>
      <c r="G9" s="28"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2"/>
  </cols>
  <sheetData>
    <row r="1" customFormat="false" ht="17.25" hidden="false" customHeight="true" outlineLevel="0" collapsed="false">
      <c r="A1" s="2" t="s">
        <v>151</v>
      </c>
    </row>
    <row r="2" customFormat="false" ht="15" hidden="false" customHeight="true" outlineLevel="0" collapsed="false">
      <c r="A2" s="11" t="s">
        <v>152</v>
      </c>
    </row>
    <row r="4" customFormat="false" ht="26.25" hidden="false" customHeight="true" outlineLevel="0" collapsed="false">
      <c r="A4" s="12" t="s">
        <v>77</v>
      </c>
      <c r="B4" s="12" t="s">
        <v>153</v>
      </c>
      <c r="C4" s="12" t="s">
        <v>154</v>
      </c>
      <c r="D4" s="12" t="s">
        <v>155</v>
      </c>
    </row>
    <row r="5" customFormat="false" ht="15" hidden="false" customHeight="true" outlineLevel="0" collapsed="false">
      <c r="A5" s="15" t="s">
        <v>156</v>
      </c>
      <c r="B5" s="16" t="n">
        <v>6206.6</v>
      </c>
      <c r="C5" s="16" t="n">
        <v>9850.39</v>
      </c>
      <c r="D5" s="16" t="n">
        <v>3571.86</v>
      </c>
    </row>
    <row r="6" customFormat="false" ht="15" hidden="false" customHeight="true" outlineLevel="0" collapsed="false">
      <c r="A6" s="15" t="s">
        <v>157</v>
      </c>
      <c r="B6" s="28" t="s">
        <v>158</v>
      </c>
      <c r="C6" s="16" t="n">
        <v>95400</v>
      </c>
      <c r="D6" s="16" t="n">
        <v>95400</v>
      </c>
    </row>
    <row r="7" customFormat="false" ht="15" hidden="false" customHeight="true" outlineLevel="0" collapsed="false">
      <c r="A7" s="15" t="s">
        <v>159</v>
      </c>
      <c r="B7" s="28" t="s">
        <v>131</v>
      </c>
      <c r="C7" s="16" t="n">
        <v>1800</v>
      </c>
      <c r="D7" s="16" t="n">
        <v>1800</v>
      </c>
    </row>
    <row r="8" customFormat="false" ht="15" hidden="false" customHeight="true" outlineLevel="0" collapsed="false">
      <c r="A8" s="15" t="s">
        <v>160</v>
      </c>
      <c r="B8" s="28" t="s">
        <v>131</v>
      </c>
      <c r="C8" s="16" t="n">
        <v>5000</v>
      </c>
      <c r="D8" s="16" t="n">
        <v>5000</v>
      </c>
    </row>
    <row r="9" customFormat="false" ht="15" hidden="false" customHeight="true" outlineLevel="0" collapsed="false">
      <c r="A9" s="15" t="s">
        <v>161</v>
      </c>
      <c r="B9" s="28" t="s">
        <v>131</v>
      </c>
      <c r="C9" s="16" t="n">
        <v>100000</v>
      </c>
      <c r="D9" s="16" t="n">
        <v>100000</v>
      </c>
    </row>
    <row r="10" customFormat="false" ht="15" hidden="false" customHeight="true" outlineLevel="0" collapsed="false">
      <c r="A10" s="32" t="s">
        <v>162</v>
      </c>
      <c r="B10" s="33" t="n">
        <v>6206.6</v>
      </c>
      <c r="C10" s="33" t="n">
        <f aca="false">SUM(C5:C9)</f>
        <v>212050.39</v>
      </c>
      <c r="D10" s="33" t="n">
        <f aca="false">SUM(D5:D9)</f>
        <v>205771.86</v>
      </c>
    </row>
    <row r="11" customFormat="false" ht="15" hidden="false" customHeight="true" outlineLevel="0" collapsed="false">
      <c r="A11" s="15" t="s">
        <v>163</v>
      </c>
      <c r="B11" s="28" t="s">
        <v>164</v>
      </c>
      <c r="C11" s="16" t="n">
        <v>22060</v>
      </c>
      <c r="D11" s="16" t="n">
        <v>22060</v>
      </c>
    </row>
    <row r="12" customFormat="false" ht="15" hidden="false" customHeight="true" outlineLevel="0" collapsed="false">
      <c r="A12" s="34" t="s">
        <v>165</v>
      </c>
      <c r="B12" s="28" t="s">
        <v>166</v>
      </c>
      <c r="C12" s="35" t="n">
        <v>25287</v>
      </c>
      <c r="D12" s="29" t="n">
        <v>13879</v>
      </c>
    </row>
    <row r="13" customFormat="false" ht="15" hidden="false" customHeight="true" outlineLevel="0" collapsed="false">
      <c r="A13" s="15" t="s">
        <v>167</v>
      </c>
      <c r="B13" s="28" t="s">
        <v>131</v>
      </c>
      <c r="C13" s="16" t="n">
        <v>54682.9</v>
      </c>
      <c r="D13" s="16" t="n">
        <v>45574.12</v>
      </c>
    </row>
    <row r="14" customFormat="false" ht="15" hidden="false" customHeight="true" outlineLevel="0" collapsed="false">
      <c r="A14" s="32" t="s">
        <v>168</v>
      </c>
      <c r="B14" s="33"/>
      <c r="C14" s="33" t="n">
        <f aca="false">SUM(C11:C13)</f>
        <v>102029.9</v>
      </c>
      <c r="D14" s="33" t="n">
        <f aca="false">SUM(D11:D13)</f>
        <v>81513.12</v>
      </c>
    </row>
    <row r="15" customFormat="false" ht="15" hidden="false" customHeight="false" outlineLevel="0" collapsed="false">
      <c r="A15" s="36" t="s">
        <v>169</v>
      </c>
      <c r="B15" s="37" t="n">
        <v>29000</v>
      </c>
      <c r="C15" s="38" t="n">
        <v>4000</v>
      </c>
      <c r="D15" s="38" t="n">
        <v>4000</v>
      </c>
    </row>
    <row r="16" customFormat="false" ht="15" hidden="false" customHeight="false" outlineLevel="0" collapsed="false">
      <c r="A16" s="7" t="s">
        <v>170</v>
      </c>
      <c r="B16" s="7"/>
      <c r="C16" s="7" t="n">
        <f aca="false">C10-C14</f>
        <v>110020.49</v>
      </c>
      <c r="D16" s="7" t="n">
        <f aca="false">D10-D14</f>
        <v>124258.74</v>
      </c>
    </row>
    <row r="17" customFormat="false" ht="45" hidden="false" customHeight="true" outlineLevel="0" collapsed="false">
      <c r="A17" s="8"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s>
  <sheetData>
    <row r="1" customFormat="false" ht="17.25" hidden="false" customHeight="true" outlineLevel="0" collapsed="false">
      <c r="A1" s="2" t="s">
        <v>172</v>
      </c>
    </row>
    <row r="2" customFormat="false" ht="15" hidden="false" customHeight="true" outlineLevel="0" collapsed="false">
      <c r="A2" s="11" t="s">
        <v>173</v>
      </c>
    </row>
    <row r="4" customFormat="false" ht="26.25" hidden="false" customHeight="true" outlineLevel="0" collapsed="false">
      <c r="A4" s="12" t="s">
        <v>174</v>
      </c>
      <c r="B4" s="12" t="s">
        <v>175</v>
      </c>
      <c r="C4" s="12" t="s">
        <v>176</v>
      </c>
    </row>
    <row r="5" customFormat="false" ht="15" hidden="false" customHeight="true" outlineLevel="0" collapsed="false">
      <c r="A5" s="1" t="s">
        <v>156</v>
      </c>
      <c r="B5" s="16" t="n">
        <v>9850.39</v>
      </c>
      <c r="C5" s="16" t="n">
        <v>3571.86</v>
      </c>
    </row>
    <row r="6" customFormat="false" ht="15" hidden="false" customHeight="true" outlineLevel="0" collapsed="false">
      <c r="A6" s="1" t="s">
        <v>157</v>
      </c>
      <c r="B6" s="16" t="n">
        <v>95400</v>
      </c>
      <c r="C6" s="16" t="n">
        <v>95400</v>
      </c>
    </row>
    <row r="7" customFormat="false" ht="15" hidden="false" customHeight="true" outlineLevel="0" collapsed="false">
      <c r="A7" s="1" t="s">
        <v>159</v>
      </c>
      <c r="B7" s="16" t="n">
        <v>1800</v>
      </c>
      <c r="C7" s="16" t="n">
        <v>1800</v>
      </c>
    </row>
    <row r="8" customFormat="false" ht="15" hidden="false" customHeight="true" outlineLevel="0" collapsed="false">
      <c r="A8" s="1" t="s">
        <v>160</v>
      </c>
      <c r="B8" s="16" t="n">
        <v>5000</v>
      </c>
      <c r="C8" s="16" t="n">
        <v>5000</v>
      </c>
    </row>
    <row r="9" customFormat="false" ht="15" hidden="false" customHeight="true" outlineLevel="0" collapsed="false">
      <c r="A9" s="1" t="s">
        <v>177</v>
      </c>
      <c r="B9" s="16" t="n">
        <v>100000</v>
      </c>
      <c r="C9" s="16" t="n">
        <v>100000</v>
      </c>
    </row>
    <row r="10" customFormat="false" ht="15" hidden="false" customHeight="true" outlineLevel="0" collapsed="false">
      <c r="A10" s="1" t="s">
        <v>178</v>
      </c>
      <c r="B10" s="16" t="n">
        <v>-22060</v>
      </c>
      <c r="C10" s="16" t="n">
        <v>-22060</v>
      </c>
    </row>
    <row r="11" customFormat="false" ht="15" hidden="false" customHeight="true" outlineLevel="0" collapsed="false">
      <c r="A11" s="27" t="s">
        <v>165</v>
      </c>
      <c r="B11" s="35" t="n">
        <v>-25287</v>
      </c>
      <c r="C11" s="29" t="n">
        <v>-13879</v>
      </c>
    </row>
    <row r="12" customFormat="false" ht="15" hidden="false" customHeight="true" outlineLevel="0" collapsed="false">
      <c r="A12" s="1" t="s">
        <v>179</v>
      </c>
      <c r="B12" s="16" t="n">
        <v>-54682.9</v>
      </c>
      <c r="C12" s="16" t="n">
        <v>-45574.12</v>
      </c>
    </row>
    <row r="13" customFormat="false" ht="15" hidden="false" customHeight="true" outlineLevel="0" collapsed="false">
      <c r="A13" s="1" t="s">
        <v>180</v>
      </c>
      <c r="B13" s="16" t="n">
        <v>-369980.87</v>
      </c>
      <c r="C13" s="28" t="s">
        <v>131</v>
      </c>
    </row>
    <row r="14" customFormat="false" ht="15" hidden="false" customHeight="true" outlineLevel="0" collapsed="false">
      <c r="A14" s="1" t="s">
        <v>181</v>
      </c>
      <c r="B14" s="16" t="n">
        <v>360130.48</v>
      </c>
      <c r="C14" s="28" t="s">
        <v>131</v>
      </c>
    </row>
    <row r="15" customFormat="false" ht="42" hidden="false" customHeight="true" outlineLevel="0" collapsed="false">
      <c r="A15" s="39" t="s">
        <v>182</v>
      </c>
      <c r="B15" s="38" t="s">
        <v>183</v>
      </c>
      <c r="C15" s="38" t="s">
        <v>183</v>
      </c>
    </row>
    <row r="17" customFormat="false" ht="15" hidden="false" customHeight="false" outlineLevel="0" collapsed="false">
      <c r="A17" s="7" t="s">
        <v>184</v>
      </c>
      <c r="B17" s="7" t="n">
        <f aca="false">-(SUM(B5:B12)+B13+B14)</f>
        <v>-100170.1</v>
      </c>
      <c r="C17" s="7" t="n">
        <f aca="false">-SUM(C5:C12)</f>
        <v>-124258.74</v>
      </c>
    </row>
    <row r="18" customFormat="false" ht="15" hidden="false" customHeight="false" outlineLevel="0" collapsed="false">
      <c r="A18" s="7" t="s">
        <v>185</v>
      </c>
      <c r="B18" s="7" t="n">
        <f aca="false">SUM(B5:B14)+B17</f>
        <v>0</v>
      </c>
      <c r="C18" s="7" t="n">
        <f aca="false">SUM(C5:C12)+C17</f>
        <v>0</v>
      </c>
    </row>
    <row r="19" customFormat="false" ht="42" hidden="false" customHeight="true" outlineLevel="0" collapsed="false">
      <c r="A19" s="8"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6" min="2" style="0" width="18"/>
  </cols>
  <sheetData>
    <row r="1" customFormat="false" ht="17.35" hidden="false" customHeight="false" outlineLevel="0" collapsed="false">
      <c r="A1" s="9" t="s">
        <v>187</v>
      </c>
    </row>
    <row r="2" customFormat="false" ht="72" hidden="false" customHeight="true" outlineLevel="0" collapsed="false">
      <c r="A2" s="8" t="s">
        <v>188</v>
      </c>
    </row>
    <row r="4" customFormat="false" ht="15" hidden="false" customHeight="false" outlineLevel="0" collapsed="false">
      <c r="A4" s="10" t="s">
        <v>24</v>
      </c>
      <c r="B4" s="10" t="s">
        <v>189</v>
      </c>
      <c r="C4" s="10" t="s">
        <v>190</v>
      </c>
      <c r="D4" s="10" t="s">
        <v>191</v>
      </c>
      <c r="E4" s="10" t="s">
        <v>192</v>
      </c>
      <c r="F4" s="10" t="s">
        <v>193</v>
      </c>
    </row>
    <row r="5" customFormat="false" ht="15" hidden="false" customHeight="false" outlineLevel="0" collapsed="false">
      <c r="A5" s="10" t="s">
        <v>194</v>
      </c>
      <c r="B5" s="10"/>
      <c r="C5" s="10"/>
      <c r="D5" s="10"/>
      <c r="E5" s="10"/>
      <c r="F5" s="10"/>
    </row>
    <row r="6" customFormat="false" ht="15" hidden="false" customHeight="false" outlineLevel="0" collapsed="false">
      <c r="A6" s="0" t="s">
        <v>195</v>
      </c>
      <c r="B6" s="0" t="s">
        <v>196</v>
      </c>
      <c r="C6" s="0" t="n">
        <v>0</v>
      </c>
      <c r="D6" s="0" t="n">
        <v>0</v>
      </c>
      <c r="E6" s="0" t="n">
        <v>0</v>
      </c>
      <c r="F6" s="0" t="n">
        <v>0</v>
      </c>
    </row>
    <row r="7" customFormat="false" ht="15" hidden="false" customHeight="false" outlineLevel="0" collapsed="false">
      <c r="A7" s="0" t="s">
        <v>197</v>
      </c>
      <c r="B7" s="0" t="s">
        <v>196</v>
      </c>
      <c r="C7" s="0" t="s">
        <v>198</v>
      </c>
      <c r="D7" s="0" t="s">
        <v>198</v>
      </c>
      <c r="E7" s="0" t="s">
        <v>198</v>
      </c>
      <c r="F7" s="0" t="s">
        <v>198</v>
      </c>
    </row>
    <row r="8" customFormat="false" ht="15" hidden="false" customHeight="false" outlineLevel="0" collapsed="false">
      <c r="A8" s="10" t="s">
        <v>199</v>
      </c>
      <c r="B8" s="10"/>
      <c r="C8" s="10"/>
      <c r="D8" s="10"/>
      <c r="E8" s="10"/>
      <c r="F8" s="10"/>
    </row>
    <row r="9" customFormat="false" ht="15" hidden="false" customHeight="false" outlineLevel="0" collapsed="false">
      <c r="A9" s="0" t="s">
        <v>200</v>
      </c>
      <c r="B9" s="0" t="s">
        <v>196</v>
      </c>
      <c r="C9" s="0" t="n">
        <v>0</v>
      </c>
      <c r="D9" s="0" t="n">
        <v>0</v>
      </c>
      <c r="E9" s="0" t="n">
        <v>0</v>
      </c>
      <c r="F9" s="0" t="n">
        <v>0</v>
      </c>
    </row>
    <row r="10" customFormat="false" ht="15" hidden="false" customHeight="false" outlineLevel="0" collapsed="false">
      <c r="A10" s="0" t="s">
        <v>201</v>
      </c>
      <c r="B10" s="0" t="s">
        <v>202</v>
      </c>
      <c r="C10" s="0" t="s">
        <v>203</v>
      </c>
      <c r="D10" s="0" t="s">
        <v>203</v>
      </c>
      <c r="E10" s="0" t="n">
        <v>22060</v>
      </c>
      <c r="F10" s="0" t="n">
        <v>22060</v>
      </c>
    </row>
    <row r="11" customFormat="false" ht="15" hidden="false" customHeight="false" outlineLevel="0" collapsed="false">
      <c r="A11" s="0" t="s">
        <v>204</v>
      </c>
      <c r="B11" s="0" t="s">
        <v>202</v>
      </c>
      <c r="C11" s="0" t="s">
        <v>205</v>
      </c>
      <c r="D11" s="0" t="s">
        <v>205</v>
      </c>
      <c r="E11" s="0" t="n">
        <v>54682.9</v>
      </c>
      <c r="F11" s="0" t="n">
        <v>45574.12</v>
      </c>
    </row>
    <row r="12" customFormat="false" ht="15" hidden="false" customHeight="false" outlineLevel="0" collapsed="false">
      <c r="A12" s="0" t="s">
        <v>206</v>
      </c>
      <c r="B12" s="0" t="s">
        <v>202</v>
      </c>
      <c r="C12" s="0" t="s">
        <v>205</v>
      </c>
      <c r="D12" s="0" t="s">
        <v>205</v>
      </c>
      <c r="E12" s="0" t="n">
        <v>25287</v>
      </c>
      <c r="F12" s="0" t="n">
        <v>13879</v>
      </c>
    </row>
    <row r="13" customFormat="false" ht="15" hidden="false" customHeight="false" outlineLevel="0" collapsed="false">
      <c r="A13" s="0" t="s">
        <v>207</v>
      </c>
      <c r="B13" s="0" t="s">
        <v>208</v>
      </c>
      <c r="C13" s="0" t="n">
        <v>29000</v>
      </c>
      <c r="D13" s="0" t="n">
        <v>4000</v>
      </c>
      <c r="E13" s="0" t="n">
        <v>4000</v>
      </c>
      <c r="F13" s="0" t="n">
        <v>4000</v>
      </c>
    </row>
    <row r="15" customFormat="false" ht="60" hidden="false" customHeight="true" outlineLevel="0" collapsed="false">
      <c r="A15" s="8"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8"/>
  </cols>
  <sheetData>
    <row r="1" customFormat="false" ht="17.25" hidden="false" customHeight="true" outlineLevel="0" collapsed="false">
      <c r="A1" s="2" t="s">
        <v>210</v>
      </c>
    </row>
    <row r="2" customFormat="false" ht="15" hidden="false" customHeight="true" outlineLevel="0" collapsed="false">
      <c r="A2" s="11" t="s">
        <v>211</v>
      </c>
    </row>
    <row r="4" customFormat="false" ht="15" hidden="false" customHeight="true" outlineLevel="0" collapsed="false">
      <c r="A4" s="12" t="s">
        <v>212</v>
      </c>
      <c r="B4" s="12" t="s">
        <v>213</v>
      </c>
      <c r="C4" s="12" t="s">
        <v>214</v>
      </c>
      <c r="D4" s="12" t="s">
        <v>215</v>
      </c>
    </row>
    <row r="5" customFormat="false" ht="15" hidden="false" customHeight="true" outlineLevel="0" collapsed="false">
      <c r="A5" s="1" t="s">
        <v>91</v>
      </c>
      <c r="B5" s="16" t="n">
        <v>418990</v>
      </c>
      <c r="C5" s="16" t="n">
        <v>369980.87</v>
      </c>
      <c r="D5" s="16" t="n">
        <v>130976.23</v>
      </c>
    </row>
    <row r="6" customFormat="false" ht="15" hidden="false" customHeight="true" outlineLevel="0" collapsed="false">
      <c r="A6" s="1" t="s">
        <v>216</v>
      </c>
      <c r="B6" s="16" t="n">
        <v>150577</v>
      </c>
      <c r="C6" s="16" t="n">
        <v>105777.57</v>
      </c>
      <c r="D6" s="16" t="n">
        <v>8873.49</v>
      </c>
    </row>
    <row r="7" customFormat="false" ht="15" hidden="false" customHeight="true" outlineLevel="0" collapsed="false">
      <c r="A7" s="13" t="s">
        <v>217</v>
      </c>
      <c r="B7" s="18" t="n">
        <f aca="false">B5-B6</f>
        <v>268413</v>
      </c>
      <c r="C7" s="18" t="n">
        <f aca="false">C5-C6</f>
        <v>264203.3</v>
      </c>
      <c r="D7" s="18" t="n">
        <f aca="false">D5-D6</f>
        <v>122102.74</v>
      </c>
    </row>
    <row r="8" customFormat="false" ht="15" hidden="false" customHeight="true" outlineLevel="0" collapsed="false">
      <c r="A8" s="13" t="s">
        <v>218</v>
      </c>
      <c r="B8" s="40" t="n">
        <f aca="false">B7/B5</f>
        <v>0.640619107854603</v>
      </c>
      <c r="C8" s="40" t="n">
        <f aca="false">C7/C5</f>
        <v>0.714099893867486</v>
      </c>
      <c r="D8" s="40" t="n">
        <f aca="false">D7/D5</f>
        <v>0.932251142058372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0"/>
  </cols>
  <sheetData>
    <row r="1" customFormat="false" ht="17.25" hidden="false" customHeight="true" outlineLevel="0" collapsed="false">
      <c r="A1" s="2" t="s">
        <v>219</v>
      </c>
    </row>
    <row r="2" customFormat="false" ht="15" hidden="false" customHeight="true" outlineLevel="0" collapsed="false">
      <c r="A2" s="11" t="s">
        <v>220</v>
      </c>
    </row>
    <row r="4" customFormat="false" ht="15" hidden="false" customHeight="true" outlineLevel="0" collapsed="false">
      <c r="A4" s="13" t="s">
        <v>221</v>
      </c>
    </row>
    <row r="5" customFormat="false" ht="15" hidden="false" customHeight="true" outlineLevel="0" collapsed="false">
      <c r="A5" s="1" t="s">
        <v>222</v>
      </c>
      <c r="B5" s="41" t="n">
        <v>16451.33</v>
      </c>
    </row>
    <row r="6" customFormat="false" ht="15" hidden="false" customHeight="true" outlineLevel="0" collapsed="false">
      <c r="A6" s="1" t="s">
        <v>223</v>
      </c>
      <c r="B6" s="41" t="n">
        <v>17707.04</v>
      </c>
    </row>
    <row r="7" customFormat="false" ht="15" hidden="false" customHeight="true" outlineLevel="0" collapsed="false">
      <c r="A7" s="1" t="s">
        <v>224</v>
      </c>
      <c r="B7" s="42" t="n">
        <v>0.02</v>
      </c>
    </row>
    <row r="8" customFormat="false" ht="15" hidden="false" customHeight="true" outlineLevel="0" collapsed="false">
      <c r="A8" s="1" t="s">
        <v>225</v>
      </c>
      <c r="B8" s="42" t="n">
        <v>0.01</v>
      </c>
    </row>
    <row r="9" customFormat="false" ht="15" hidden="false" customHeight="false" outlineLevel="0" collapsed="false">
      <c r="A9" s="1" t="s">
        <v>226</v>
      </c>
    </row>
    <row r="11" customFormat="false" ht="15" hidden="false" customHeight="true" outlineLevel="0" collapsed="false">
      <c r="A11" s="12" t="s">
        <v>100</v>
      </c>
      <c r="B11" s="12" t="s">
        <v>227</v>
      </c>
      <c r="C11" s="12" t="s">
        <v>228</v>
      </c>
      <c r="D11" s="12" t="s">
        <v>229</v>
      </c>
      <c r="E11" s="12" t="s">
        <v>230</v>
      </c>
      <c r="F11" s="12" t="s">
        <v>231</v>
      </c>
      <c r="G11" s="12" t="s">
        <v>232</v>
      </c>
      <c r="H11" s="12" t="s">
        <v>233</v>
      </c>
      <c r="I11" s="12" t="s">
        <v>234</v>
      </c>
      <c r="J11" s="12" t="s">
        <v>235</v>
      </c>
      <c r="K11" s="12" t="s">
        <v>236</v>
      </c>
      <c r="L11" s="12" t="s">
        <v>237</v>
      </c>
      <c r="M11" s="12" t="s">
        <v>238</v>
      </c>
      <c r="N11" s="12" t="s">
        <v>239</v>
      </c>
      <c r="O11" s="12" t="s">
        <v>240</v>
      </c>
      <c r="P11" s="12" t="s">
        <v>241</v>
      </c>
      <c r="Q11" s="12" t="s">
        <v>242</v>
      </c>
      <c r="R11" s="12" t="s">
        <v>243</v>
      </c>
      <c r="S11" s="12" t="s">
        <v>244</v>
      </c>
      <c r="T11" s="12" t="s">
        <v>245</v>
      </c>
      <c r="U11" s="12" t="s">
        <v>246</v>
      </c>
      <c r="V11" s="12" t="s">
        <v>247</v>
      </c>
      <c r="W11" s="12" t="s">
        <v>248</v>
      </c>
      <c r="X11" s="12" t="s">
        <v>249</v>
      </c>
      <c r="Y11" s="12" t="s">
        <v>250</v>
      </c>
      <c r="Z11" s="12" t="s">
        <v>251</v>
      </c>
      <c r="AA11" s="12" t="s">
        <v>252</v>
      </c>
      <c r="AB11" s="12" t="s">
        <v>253</v>
      </c>
      <c r="AC11" s="12" t="s">
        <v>254</v>
      </c>
      <c r="AD11" s="12" t="s">
        <v>255</v>
      </c>
      <c r="AE11" s="12" t="s">
        <v>256</v>
      </c>
      <c r="AF11" s="12" t="s">
        <v>257</v>
      </c>
      <c r="AG11" s="12" t="s">
        <v>258</v>
      </c>
      <c r="AH11" s="12" t="s">
        <v>259</v>
      </c>
      <c r="AI11" s="12" t="s">
        <v>260</v>
      </c>
      <c r="AJ11" s="12" t="s">
        <v>261</v>
      </c>
      <c r="AK11" s="12" t="s">
        <v>262</v>
      </c>
    </row>
    <row r="12" customFormat="false" ht="15" hidden="false" customHeight="true" outlineLevel="0" collapsed="false">
      <c r="A12" s="1" t="s">
        <v>263</v>
      </c>
      <c r="B12" s="43" t="n">
        <f aca="false">$B$5</f>
        <v>16451.33</v>
      </c>
      <c r="C12" s="43" t="n">
        <f aca="false">B12*(1+$B$7)</f>
        <v>16780.3566</v>
      </c>
      <c r="D12" s="43" t="n">
        <f aca="false">C12*(1+$B$7)</f>
        <v>17115.963732</v>
      </c>
      <c r="E12" s="43" t="n">
        <f aca="false">D12*(1+$B$7)</f>
        <v>17458.28300664</v>
      </c>
      <c r="F12" s="43" t="n">
        <f aca="false">E12*(1+$B$7)</f>
        <v>17807.4486667728</v>
      </c>
      <c r="G12" s="43" t="n">
        <f aca="false">F12*(1+$B$7)</f>
        <v>18163.5976401083</v>
      </c>
      <c r="H12" s="43" t="n">
        <f aca="false">G12*(1+$B$7)</f>
        <v>18526.8695929104</v>
      </c>
      <c r="I12" s="43" t="n">
        <f aca="false">H12*(1+$B$7)</f>
        <v>18897.4069847686</v>
      </c>
      <c r="J12" s="43" t="n">
        <f aca="false">I12*(1+$B$7)</f>
        <v>19275.355124464</v>
      </c>
      <c r="K12" s="43" t="n">
        <f aca="false">J12*(1+$B$7)</f>
        <v>19660.8622269533</v>
      </c>
      <c r="L12" s="43" t="n">
        <f aca="false">K12*(1+$B$7)</f>
        <v>20054.0794714924</v>
      </c>
      <c r="M12" s="43" t="n">
        <f aca="false">L12*(1+$B$7)</f>
        <v>20455.1610609222</v>
      </c>
      <c r="N12" s="43" t="n">
        <f aca="false">M12*(1+$B$7)</f>
        <v>20864.2642821407</v>
      </c>
      <c r="O12" s="43" t="n">
        <f aca="false">N12*(1+$B$7)</f>
        <v>21281.5495677835</v>
      </c>
      <c r="P12" s="43" t="n">
        <f aca="false">O12*(1+$B$7)</f>
        <v>21707.1805591391</v>
      </c>
      <c r="Q12" s="43" t="n">
        <f aca="false">P12*(1+$B$7)</f>
        <v>22141.3241703219</v>
      </c>
      <c r="R12" s="43" t="n">
        <f aca="false">Q12*(1+$B$7)</f>
        <v>22584.1506537284</v>
      </c>
      <c r="S12" s="43" t="n">
        <f aca="false">R12*(1+$B$7)</f>
        <v>23035.8336668029</v>
      </c>
      <c r="T12" s="43" t="n">
        <f aca="false">S12*(1+$B$7)</f>
        <v>23496.550340139</v>
      </c>
      <c r="U12" s="43" t="n">
        <f aca="false">T12*(1+$B$7)</f>
        <v>23966.4813469418</v>
      </c>
      <c r="V12" s="43" t="n">
        <f aca="false">U12*(1+$B$7)</f>
        <v>24445.8109738806</v>
      </c>
      <c r="W12" s="43" t="n">
        <f aca="false">V12*(1+$B$7)</f>
        <v>24934.7271933582</v>
      </c>
      <c r="X12" s="43" t="n">
        <f aca="false">W12*(1+$B$7)</f>
        <v>25433.4217372254</v>
      </c>
      <c r="Y12" s="43" t="n">
        <f aca="false">X12*(1+$B$7)</f>
        <v>25942.0901719699</v>
      </c>
      <c r="Z12" s="43" t="n">
        <f aca="false">Y12*(1+$B$7)</f>
        <v>26460.9319754093</v>
      </c>
      <c r="AA12" s="43" t="n">
        <f aca="false">Z12*(1+$B$7)</f>
        <v>26990.1506149175</v>
      </c>
      <c r="AB12" s="43" t="n">
        <f aca="false">AA12*(1+$B$7)</f>
        <v>27529.9536272158</v>
      </c>
      <c r="AC12" s="43" t="n">
        <f aca="false">AB12*(1+$B$7)</f>
        <v>28080.5526997601</v>
      </c>
      <c r="AD12" s="43" t="n">
        <f aca="false">AC12*(1+$B$7)</f>
        <v>28642.1637537553</v>
      </c>
      <c r="AE12" s="43" t="n">
        <f aca="false">AD12*(1+$B$7)</f>
        <v>29215.0070288304</v>
      </c>
      <c r="AF12" s="43" t="n">
        <f aca="false">AE12*(1+$B$7)</f>
        <v>29799.3071694071</v>
      </c>
      <c r="AG12" s="43" t="n">
        <f aca="false">AF12*(1+$B$7)</f>
        <v>30395.2933127952</v>
      </c>
      <c r="AH12" s="43" t="n">
        <f aca="false">AG12*(1+$B$7)</f>
        <v>31003.1991790511</v>
      </c>
      <c r="AI12" s="43" t="n">
        <f aca="false">AH12*(1+$B$7)</f>
        <v>31623.2631626321</v>
      </c>
      <c r="AJ12" s="43" t="n">
        <f aca="false">AI12*(1+$B$7)</f>
        <v>32255.7284258848</v>
      </c>
      <c r="AK12" s="43" t="n">
        <f aca="false">AJ12*(1+$B$7)</f>
        <v>32900.8429944025</v>
      </c>
    </row>
    <row r="13" customFormat="false" ht="15" hidden="false" customHeight="true" outlineLevel="0" collapsed="false">
      <c r="A13" s="1" t="s">
        <v>264</v>
      </c>
      <c r="B13" s="43" t="n">
        <f aca="false">$B$6</f>
        <v>17707.04</v>
      </c>
      <c r="C13" s="43" t="n">
        <f aca="false">B13*(1+$B$8)</f>
        <v>17884.1104</v>
      </c>
      <c r="D13" s="43" t="n">
        <f aca="false">C13*(1+$B$8)</f>
        <v>18062.951504</v>
      </c>
      <c r="E13" s="43" t="n">
        <f aca="false">D13*(1+$B$8)</f>
        <v>18243.58101904</v>
      </c>
      <c r="F13" s="43" t="n">
        <f aca="false">E13*(1+$B$8)</f>
        <v>18426.0168292304</v>
      </c>
      <c r="G13" s="43" t="n">
        <f aca="false">F13*(1+$B$8)</f>
        <v>18610.2769975227</v>
      </c>
      <c r="H13" s="43" t="n">
        <f aca="false">G13*(1+$B$8)</f>
        <v>18796.3797674979</v>
      </c>
      <c r="I13" s="43" t="n">
        <f aca="false">H13*(1+$B$8)</f>
        <v>18984.3435651729</v>
      </c>
      <c r="J13" s="43" t="n">
        <f aca="false">I13*(1+$B$8)</f>
        <v>19174.1870008246</v>
      </c>
      <c r="K13" s="43" t="n">
        <f aca="false">J13*(1+$B$8)</f>
        <v>19365.9288708329</v>
      </c>
      <c r="L13" s="43" t="n">
        <f aca="false">K13*(1+$B$8)</f>
        <v>19559.5881595412</v>
      </c>
      <c r="M13" s="43" t="n">
        <f aca="false">L13*(1+$B$8)</f>
        <v>19755.1840411366</v>
      </c>
      <c r="N13" s="43" t="n">
        <f aca="false">M13*(1+$B$8)</f>
        <v>19952.735881548</v>
      </c>
      <c r="O13" s="43" t="n">
        <f aca="false">N13*(1+$B$8)</f>
        <v>20152.2632403635</v>
      </c>
      <c r="P13" s="43" t="n">
        <f aca="false">O13*(1+$B$8)</f>
        <v>20353.7858727671</v>
      </c>
      <c r="Q13" s="43" t="n">
        <f aca="false">P13*(1+$B$8)</f>
        <v>20557.3237314948</v>
      </c>
      <c r="R13" s="43" t="n">
        <f aca="false">Q13*(1+$B$8)</f>
        <v>20762.8969688097</v>
      </c>
      <c r="S13" s="43" t="n">
        <f aca="false">R13*(1+$B$8)</f>
        <v>20970.5259384978</v>
      </c>
      <c r="T13" s="43" t="n">
        <f aca="false">S13*(1+$B$8)</f>
        <v>21180.2311978828</v>
      </c>
      <c r="U13" s="43" t="n">
        <f aca="false">T13*(1+$B$8)</f>
        <v>21392.0335098616</v>
      </c>
      <c r="V13" s="43" t="n">
        <f aca="false">U13*(1+$B$8)</f>
        <v>21605.9538449602</v>
      </c>
      <c r="W13" s="43" t="n">
        <f aca="false">V13*(1+$B$8)</f>
        <v>21822.0133834098</v>
      </c>
      <c r="X13" s="43" t="n">
        <f aca="false">W13*(1+$B$8)</f>
        <v>22040.2335172439</v>
      </c>
      <c r="Y13" s="43" t="n">
        <f aca="false">X13*(1+$B$8)</f>
        <v>22260.6358524164</v>
      </c>
      <c r="Z13" s="43" t="n">
        <f aca="false">Y13*(1+$B$8)</f>
        <v>22483.2422109406</v>
      </c>
      <c r="AA13" s="43" t="n">
        <f aca="false">Z13*(1+$B$8)</f>
        <v>22708.07463305</v>
      </c>
      <c r="AB13" s="43" t="n">
        <f aca="false">AA13*(1+$B$8)</f>
        <v>22935.1553793805</v>
      </c>
      <c r="AC13" s="43" t="n">
        <f aca="false">AB13*(1+$B$8)</f>
        <v>23164.5069331743</v>
      </c>
      <c r="AD13" s="43" t="n">
        <f aca="false">AC13*(1+$B$8)</f>
        <v>23396.152002506</v>
      </c>
      <c r="AE13" s="43" t="n">
        <f aca="false">AD13*(1+$B$8)</f>
        <v>23630.1135225311</v>
      </c>
      <c r="AF13" s="43" t="n">
        <f aca="false">AE13*(1+$B$8)</f>
        <v>23866.4146577564</v>
      </c>
      <c r="AG13" s="43" t="n">
        <f aca="false">AF13*(1+$B$8)</f>
        <v>24105.0788043339</v>
      </c>
      <c r="AH13" s="43" t="n">
        <f aca="false">AG13*(1+$B$8)</f>
        <v>24346.1295923773</v>
      </c>
      <c r="AI13" s="43" t="n">
        <f aca="false">AH13*(1+$B$8)</f>
        <v>24589.5908883011</v>
      </c>
      <c r="AJ13" s="43" t="n">
        <f aca="false">AI13*(1+$B$8)</f>
        <v>24835.4867971841</v>
      </c>
      <c r="AK13" s="43" t="n">
        <f aca="false">AJ13*(1+$B$8)</f>
        <v>25083.8416651559</v>
      </c>
    </row>
    <row r="14" customFormat="false" ht="15" hidden="false" customHeight="true" outlineLevel="0" collapsed="false">
      <c r="A14" s="13" t="s">
        <v>265</v>
      </c>
      <c r="B14" s="44" t="n">
        <f aca="false">B12-B13</f>
        <v>-1255.71</v>
      </c>
      <c r="C14" s="44" t="n">
        <f aca="false">C12-C13</f>
        <v>-1103.7538</v>
      </c>
      <c r="D14" s="44" t="n">
        <f aca="false">D12-D13</f>
        <v>-946.987771999997</v>
      </c>
      <c r="E14" s="44" t="n">
        <f aca="false">E12-E13</f>
        <v>-785.298012399995</v>
      </c>
      <c r="F14" s="44" t="n">
        <f aca="false">F12-F13</f>
        <v>-618.568162457596</v>
      </c>
      <c r="G14" s="44" t="n">
        <f aca="false">G12-G13</f>
        <v>-446.679357414443</v>
      </c>
      <c r="H14" s="44" t="n">
        <f aca="false">H12-H13</f>
        <v>-269.510174587504</v>
      </c>
      <c r="I14" s="44" t="n">
        <f aca="false">I12-I13</f>
        <v>-86.9365804042755</v>
      </c>
      <c r="J14" s="44" t="n">
        <f aca="false">J12-J13</f>
        <v>101.168123639371</v>
      </c>
      <c r="K14" s="44" t="n">
        <f aca="false">K12-K13</f>
        <v>294.933356120408</v>
      </c>
      <c r="L14" s="44" t="n">
        <f aca="false">L12-L13</f>
        <v>494.491311951148</v>
      </c>
      <c r="M14" s="44" t="n">
        <f aca="false">M12-M13</f>
        <v>699.977019785583</v>
      </c>
      <c r="N14" s="44" t="n">
        <f aca="false">N12-N13</f>
        <v>911.528400592659</v>
      </c>
      <c r="O14" s="44" t="n">
        <f aca="false">O12-O13</f>
        <v>1129.28632741999</v>
      </c>
      <c r="P14" s="44" t="n">
        <f aca="false">P12-P13</f>
        <v>1353.39468637203</v>
      </c>
      <c r="Q14" s="44" t="n">
        <f aca="false">Q12-Q13</f>
        <v>1584.00043882714</v>
      </c>
      <c r="R14" s="44" t="n">
        <f aca="false">R12-R13</f>
        <v>1821.25368491863</v>
      </c>
      <c r="S14" s="44" t="n">
        <f aca="false">S12-S13</f>
        <v>2065.3077283051</v>
      </c>
      <c r="T14" s="44" t="n">
        <f aca="false">T12-T13</f>
        <v>2316.31914225618</v>
      </c>
      <c r="U14" s="44" t="n">
        <f aca="false">U12-U13</f>
        <v>2574.44783708014</v>
      </c>
      <c r="V14" s="44" t="n">
        <f aca="false">V12-V13</f>
        <v>2839.85712892036</v>
      </c>
      <c r="W14" s="44" t="n">
        <f aca="false">W12-W13</f>
        <v>3112.71380994837</v>
      </c>
      <c r="X14" s="44" t="n">
        <f aca="false">X12-X13</f>
        <v>3393.18821998143</v>
      </c>
      <c r="Y14" s="44" t="n">
        <f aca="false">Y12-Y13</f>
        <v>3681.4543195535</v>
      </c>
      <c r="Z14" s="44" t="n">
        <f aca="false">Z12-Z13</f>
        <v>3977.68976446873</v>
      </c>
      <c r="AA14" s="44" t="n">
        <f aca="false">AA12-AA13</f>
        <v>4282.07598186751</v>
      </c>
      <c r="AB14" s="44" t="n">
        <f aca="false">AB12-AB13</f>
        <v>4594.79824783537</v>
      </c>
      <c r="AC14" s="44" t="n">
        <f aca="false">AC12-AC13</f>
        <v>4916.04576658588</v>
      </c>
      <c r="AD14" s="44" t="n">
        <f aca="false">AD12-AD13</f>
        <v>5246.01175124934</v>
      </c>
      <c r="AE14" s="44" t="n">
        <f aca="false">AE12-AE13</f>
        <v>5584.89350629939</v>
      </c>
      <c r="AF14" s="44" t="n">
        <f aca="false">AF12-AF13</f>
        <v>5932.89251165068</v>
      </c>
      <c r="AG14" s="44" t="n">
        <f aca="false">AG12-AG13</f>
        <v>6290.21450846126</v>
      </c>
      <c r="AH14" s="44" t="n">
        <f aca="false">AH12-AH13</f>
        <v>6657.06958667382</v>
      </c>
      <c r="AI14" s="44" t="n">
        <f aca="false">AI12-AI13</f>
        <v>7033.67227433107</v>
      </c>
      <c r="AJ14" s="44" t="n">
        <f aca="false">AJ12-AJ13</f>
        <v>7420.2416287007</v>
      </c>
      <c r="AK14" s="44" t="n">
        <f aca="false">AK12-AK13</f>
        <v>7817.00132924655</v>
      </c>
    </row>
    <row r="15" customFormat="false" ht="15" hidden="false" customHeight="true" outlineLevel="0" collapsed="false">
      <c r="A15" s="13" t="s">
        <v>266</v>
      </c>
      <c r="B15" s="18" t="n">
        <f aca="false">3571.86+B14</f>
        <v>2316.15</v>
      </c>
      <c r="C15" s="18" t="n">
        <f aca="false">B15+C14</f>
        <v>1212.3962</v>
      </c>
      <c r="D15" s="18" t="n">
        <f aca="false">C15+D14</f>
        <v>265.408428000006</v>
      </c>
      <c r="E15" s="18" t="n">
        <f aca="false">D15+E14</f>
        <v>-519.889584399989</v>
      </c>
      <c r="F15" s="18" t="n">
        <f aca="false">E15+F14</f>
        <v>-1138.45774685758</v>
      </c>
      <c r="G15" s="18" t="n">
        <f aca="false">F15+G14</f>
        <v>-1585.13710427203</v>
      </c>
      <c r="H15" s="18" t="n">
        <f aca="false">G15+H14</f>
        <v>-1854.64727885953</v>
      </c>
      <c r="I15" s="18" t="n">
        <f aca="false">H15+I14</f>
        <v>-1941.58385926381</v>
      </c>
      <c r="J15" s="18" t="n">
        <f aca="false">I15+J14</f>
        <v>-1840.41573562444</v>
      </c>
      <c r="K15" s="18" t="n">
        <f aca="false">J15+K14</f>
        <v>-1545.48237950403</v>
      </c>
      <c r="L15" s="18" t="n">
        <f aca="false">K15+L14</f>
        <v>-1050.99106755288</v>
      </c>
      <c r="M15" s="18" t="n">
        <f aca="false">L15+M14</f>
        <v>-351.014047767298</v>
      </c>
      <c r="N15" s="18" t="n">
        <f aca="false">M15+N14</f>
        <v>560.514352825361</v>
      </c>
      <c r="O15" s="18" t="n">
        <f aca="false">N15+O14</f>
        <v>1689.80068024535</v>
      </c>
      <c r="P15" s="18" t="n">
        <f aca="false">O15+P14</f>
        <v>3043.19536661738</v>
      </c>
      <c r="Q15" s="18" t="n">
        <f aca="false">P15+Q14</f>
        <v>4627.19580544452</v>
      </c>
      <c r="R15" s="18" t="n">
        <f aca="false">Q15+R14</f>
        <v>6448.44949036315</v>
      </c>
      <c r="S15" s="18" t="n">
        <f aca="false">R15+S14</f>
        <v>8513.75721866825</v>
      </c>
      <c r="T15" s="18" t="n">
        <f aca="false">S15+T14</f>
        <v>10830.0763609244</v>
      </c>
      <c r="U15" s="18" t="n">
        <f aca="false">T15+U14</f>
        <v>13404.5241980046</v>
      </c>
      <c r="V15" s="18" t="n">
        <f aca="false">U15+V14</f>
        <v>16244.3813269249</v>
      </c>
      <c r="W15" s="18" t="n">
        <f aca="false">V15+W14</f>
        <v>19357.0951368733</v>
      </c>
      <c r="X15" s="18" t="n">
        <f aca="false">W15+X14</f>
        <v>22750.2833568547</v>
      </c>
      <c r="Y15" s="18" t="n">
        <f aca="false">X15+Y14</f>
        <v>26431.7376764082</v>
      </c>
      <c r="Z15" s="18" t="n">
        <f aca="false">Y15+Z14</f>
        <v>30409.427440877</v>
      </c>
      <c r="AA15" s="18" t="n">
        <f aca="false">Z15+AA14</f>
        <v>34691.5034227445</v>
      </c>
      <c r="AB15" s="18" t="n">
        <f aca="false">AA15+AB14</f>
        <v>39286.3016705798</v>
      </c>
      <c r="AC15" s="18" t="n">
        <f aca="false">AB15+AC14</f>
        <v>44202.3474371657</v>
      </c>
      <c r="AD15" s="18" t="n">
        <f aca="false">AC15+AD14</f>
        <v>49448.3591884151</v>
      </c>
      <c r="AE15" s="18" t="n">
        <f aca="false">AD15+AE14</f>
        <v>55033.2526947144</v>
      </c>
      <c r="AF15" s="18" t="n">
        <f aca="false">AE15+AF14</f>
        <v>60966.1452063651</v>
      </c>
      <c r="AG15" s="18" t="n">
        <f aca="false">AF15+AG14</f>
        <v>67256.3597148264</v>
      </c>
      <c r="AH15" s="18" t="n">
        <f aca="false">AG15+AH14</f>
        <v>73913.4293015002</v>
      </c>
      <c r="AI15" s="18" t="n">
        <f aca="false">AH15+AI14</f>
        <v>80947.1015758313</v>
      </c>
      <c r="AJ15" s="18" t="n">
        <f aca="false">AI15+AJ14</f>
        <v>88367.343204532</v>
      </c>
      <c r="AK15" s="18" t="n">
        <f aca="false">AJ15+AK14</f>
        <v>96184.3445337785</v>
      </c>
    </row>
    <row r="17" customFormat="false" ht="15" hidden="false" customHeight="false" outlineLevel="0" collapsed="false">
      <c r="A17" s="1" t="s">
        <v>267</v>
      </c>
      <c r="B17" s="1" t="n">
        <f aca="false">IF(B15&lt;0,1,0)</f>
        <v>0</v>
      </c>
      <c r="C17" s="1" t="n">
        <f aca="false">IF(C15&lt;0,1,0)</f>
        <v>0</v>
      </c>
      <c r="D17" s="1" t="n">
        <f aca="false">IF(D15&lt;0,1,0)</f>
        <v>0</v>
      </c>
      <c r="E17" s="1" t="n">
        <f aca="false">IF(E15&lt;0,1,0)</f>
        <v>1</v>
      </c>
      <c r="F17" s="1" t="n">
        <f aca="false">IF(F15&lt;0,1,0)</f>
        <v>1</v>
      </c>
      <c r="G17" s="1" t="n">
        <f aca="false">IF(G15&lt;0,1,0)</f>
        <v>1</v>
      </c>
      <c r="H17" s="1" t="n">
        <f aca="false">IF(H15&lt;0,1,0)</f>
        <v>1</v>
      </c>
      <c r="I17" s="1" t="n">
        <f aca="false">IF(I15&lt;0,1,0)</f>
        <v>1</v>
      </c>
      <c r="J17" s="1" t="n">
        <f aca="false">IF(J15&lt;0,1,0)</f>
        <v>1</v>
      </c>
      <c r="K17" s="1" t="n">
        <f aca="false">IF(K15&lt;0,1,0)</f>
        <v>1</v>
      </c>
      <c r="L17" s="1" t="n">
        <f aca="false">IF(L15&lt;0,1,0)</f>
        <v>1</v>
      </c>
      <c r="M17" s="1" t="n">
        <f aca="false">IF(M15&lt;0,1,0)</f>
        <v>1</v>
      </c>
      <c r="N17" s="1" t="n">
        <f aca="false">IF(N15&lt;0,1,0)</f>
        <v>0</v>
      </c>
      <c r="O17" s="1" t="n">
        <f aca="false">IF(O15&lt;0,1,0)</f>
        <v>0</v>
      </c>
      <c r="P17" s="1" t="n">
        <f aca="false">IF(P15&lt;0,1,0)</f>
        <v>0</v>
      </c>
      <c r="Q17" s="1" t="n">
        <f aca="false">IF(Q15&lt;0,1,0)</f>
        <v>0</v>
      </c>
      <c r="R17" s="1" t="n">
        <f aca="false">IF(R15&lt;0,1,0)</f>
        <v>0</v>
      </c>
      <c r="S17" s="1" t="n">
        <f aca="false">IF(S15&lt;0,1,0)</f>
        <v>0</v>
      </c>
      <c r="T17" s="1" t="n">
        <f aca="false">IF(T15&lt;0,1,0)</f>
        <v>0</v>
      </c>
      <c r="U17" s="1" t="n">
        <f aca="false">IF(U15&lt;0,1,0)</f>
        <v>0</v>
      </c>
      <c r="V17" s="1" t="n">
        <f aca="false">IF(V15&lt;0,1,0)</f>
        <v>0</v>
      </c>
      <c r="W17" s="1" t="n">
        <f aca="false">IF(W15&lt;0,1,0)</f>
        <v>0</v>
      </c>
      <c r="X17" s="1" t="n">
        <f aca="false">IF(X15&lt;0,1,0)</f>
        <v>0</v>
      </c>
      <c r="Y17" s="1" t="n">
        <f aca="false">IF(Y15&lt;0,1,0)</f>
        <v>0</v>
      </c>
      <c r="Z17" s="1" t="n">
        <f aca="false">IF(Z15&lt;0,1,0)</f>
        <v>0</v>
      </c>
      <c r="AA17" s="1" t="n">
        <f aca="false">IF(AA15&lt;0,1,0)</f>
        <v>0</v>
      </c>
      <c r="AB17" s="1" t="n">
        <f aca="false">IF(AB15&lt;0,1,0)</f>
        <v>0</v>
      </c>
      <c r="AC17" s="1" t="n">
        <f aca="false">IF(AC15&lt;0,1,0)</f>
        <v>0</v>
      </c>
      <c r="AD17" s="1" t="n">
        <f aca="false">IF(AD15&lt;0,1,0)</f>
        <v>0</v>
      </c>
      <c r="AE17" s="1" t="n">
        <f aca="false">IF(AE15&lt;0,1,0)</f>
        <v>0</v>
      </c>
      <c r="AF17" s="1" t="n">
        <f aca="false">IF(AF15&lt;0,1,0)</f>
        <v>0</v>
      </c>
      <c r="AG17" s="1" t="n">
        <f aca="false">IF(AG15&lt;0,1,0)</f>
        <v>0</v>
      </c>
      <c r="AH17" s="1" t="n">
        <f aca="false">IF(AH15&lt;0,1,0)</f>
        <v>0</v>
      </c>
      <c r="AI17" s="1" t="n">
        <f aca="false">IF(AI15&lt;0,1,0)</f>
        <v>0</v>
      </c>
      <c r="AJ17" s="1" t="n">
        <f aca="false">IF(AJ15&lt;0,1,0)</f>
        <v>0</v>
      </c>
      <c r="AK17" s="1" t="n">
        <f aca="false">IF(AK15&lt;0,1,0)</f>
        <v>0</v>
      </c>
    </row>
    <row r="19" customFormat="false" ht="15" hidden="false" customHeight="false" outlineLevel="0" collapsed="false">
      <c r="A19" s="10" t="s">
        <v>268</v>
      </c>
    </row>
    <row r="20" customFormat="false" ht="15" hidden="false" customHeight="false" outlineLevel="0" collapsed="false">
      <c r="A20" s="1" t="s">
        <v>269</v>
      </c>
      <c r="B20" s="7" t="n">
        <f aca="false">B6-B5</f>
        <v>1255.71</v>
      </c>
    </row>
    <row r="21" customFormat="false" ht="15" hidden="false" customHeight="false" outlineLevel="0" collapsed="false">
      <c r="A21" s="1" t="s">
        <v>270</v>
      </c>
      <c r="B21" s="1" t="n">
        <v>3571.86</v>
      </c>
    </row>
    <row r="22" customFormat="false" ht="15" hidden="false" customHeight="false" outlineLevel="0" collapsed="false">
      <c r="A22" s="1" t="s">
        <v>271</v>
      </c>
      <c r="B22" s="7" t="n">
        <f aca="false">B21/B20</f>
        <v>2.84449434981007</v>
      </c>
    </row>
    <row r="23" customFormat="false" ht="15" hidden="false" customHeight="false" outlineLevel="0" collapsed="false">
      <c r="A23" s="1" t="s">
        <v>272</v>
      </c>
      <c r="B23" s="7" t="n">
        <f aca="false">IF(SUM(B17:AK17)=0,"&gt;36",MATCH(1,B17:AK17,0))</f>
        <v>4</v>
      </c>
    </row>
    <row r="24" customFormat="false" ht="78" hidden="false" customHeight="true" outlineLevel="0" collapsed="false">
      <c r="A24" s="8" t="s">
        <v>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8"/>
    <col collapsed="false" customWidth="true" hidden="false" outlineLevel="0" max="3" min="3" style="0" width="22"/>
    <col collapsed="false" customWidth="true" hidden="false" outlineLevel="0" max="5" min="4" style="0" width="14"/>
    <col collapsed="false" customWidth="true" hidden="false" outlineLevel="0" max="6" min="6" style="0" width="18"/>
    <col collapsed="false" customWidth="true" hidden="false" outlineLevel="0" max="7" min="7" style="0" width="26"/>
    <col collapsed="false" customWidth="true" hidden="false" outlineLevel="0" max="8" min="8" style="0" width="44"/>
  </cols>
  <sheetData>
    <row r="1" customFormat="false" ht="17.35" hidden="false" customHeight="false" outlineLevel="0" collapsed="false">
      <c r="A1" s="9" t="s">
        <v>274</v>
      </c>
    </row>
    <row r="3" customFormat="false" ht="15" hidden="false" customHeight="false" outlineLevel="0" collapsed="false">
      <c r="A3" s="10" t="s">
        <v>275</v>
      </c>
      <c r="B3" s="10" t="s">
        <v>276</v>
      </c>
      <c r="C3" s="10" t="s">
        <v>189</v>
      </c>
      <c r="D3" s="10" t="s">
        <v>277</v>
      </c>
      <c r="E3" s="10" t="s">
        <v>278</v>
      </c>
      <c r="F3" s="10" t="s">
        <v>279</v>
      </c>
      <c r="G3" s="10" t="s">
        <v>280</v>
      </c>
      <c r="H3" s="10" t="s">
        <v>281</v>
      </c>
    </row>
    <row r="4" customFormat="false" ht="57.75" hidden="false" customHeight="true" outlineLevel="0" collapsed="false">
      <c r="A4" s="8" t="s">
        <v>282</v>
      </c>
      <c r="B4" s="8" t="s">
        <v>283</v>
      </c>
      <c r="C4" s="8" t="s">
        <v>202</v>
      </c>
      <c r="D4" s="8" t="n">
        <v>66587</v>
      </c>
      <c r="E4" s="8" t="n">
        <v>13879</v>
      </c>
      <c r="F4" s="8" t="s">
        <v>284</v>
      </c>
      <c r="G4" s="8" t="s">
        <v>285</v>
      </c>
      <c r="H4" s="8" t="s">
        <v>286</v>
      </c>
    </row>
    <row r="5" customFormat="false" ht="57.75" hidden="false" customHeight="true" outlineLevel="0" collapsed="false">
      <c r="A5" s="8" t="s">
        <v>287</v>
      </c>
      <c r="B5" s="8" t="s">
        <v>288</v>
      </c>
      <c r="C5" s="8" t="s">
        <v>289</v>
      </c>
      <c r="D5" s="8" t="s">
        <v>131</v>
      </c>
      <c r="E5" s="8" t="n">
        <f aca="false">Credit_Cards!B12</f>
        <v>22060</v>
      </c>
      <c r="F5" s="8" t="s">
        <v>290</v>
      </c>
      <c r="G5" s="8" t="s">
        <v>291</v>
      </c>
      <c r="H5" s="8" t="s">
        <v>292</v>
      </c>
    </row>
    <row r="6" customFormat="false" ht="57.75" hidden="false" customHeight="true" outlineLevel="0" collapsed="false">
      <c r="A6" s="8" t="s">
        <v>293</v>
      </c>
      <c r="B6" s="8" t="s">
        <v>294</v>
      </c>
      <c r="C6" s="8" t="s">
        <v>295</v>
      </c>
      <c r="D6" s="8" t="s">
        <v>203</v>
      </c>
      <c r="E6" s="8" t="s">
        <v>203</v>
      </c>
      <c r="F6" s="8" t="s">
        <v>203</v>
      </c>
      <c r="G6" s="8" t="s">
        <v>296</v>
      </c>
      <c r="H6" s="8" t="s">
        <v>297</v>
      </c>
    </row>
    <row r="7" customFormat="false" ht="57.75" hidden="false" customHeight="true" outlineLevel="0" collapsed="false">
      <c r="A7" s="8" t="s">
        <v>298</v>
      </c>
      <c r="B7" s="8" t="s">
        <v>299</v>
      </c>
      <c r="C7" s="8" t="s">
        <v>300</v>
      </c>
      <c r="D7" s="8" t="n">
        <v>29000</v>
      </c>
      <c r="E7" s="8" t="n">
        <v>4000</v>
      </c>
      <c r="F7" s="8" t="s">
        <v>301</v>
      </c>
      <c r="G7" s="8" t="s">
        <v>302</v>
      </c>
      <c r="H7" s="8" t="s">
        <v>303</v>
      </c>
    </row>
    <row r="8" customFormat="false" ht="15" hidden="false" customHeight="false" outlineLevel="0" collapsed="false">
      <c r="A8" s="7" t="s">
        <v>304</v>
      </c>
      <c r="E8" s="7" t="n">
        <f aca="false">E4+E5</f>
        <v>35939</v>
      </c>
    </row>
    <row r="10" customFormat="false" ht="60" hidden="false" customHeight="true" outlineLevel="0" collapsed="false">
      <c r="A10" s="8"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
    <col collapsed="false" customWidth="true" hidden="false" outlineLevel="0" max="3" min="3" style="0" width="18"/>
    <col collapsed="false" customWidth="true" hidden="false" outlineLevel="0" max="5" min="4" style="0" width="22"/>
    <col collapsed="false" customWidth="true" hidden="false" outlineLevel="0" max="6" min="6" style="0" width="18"/>
    <col collapsed="false" customWidth="true" hidden="false" outlineLevel="0" max="7" min="7" style="0" width="52"/>
  </cols>
  <sheetData>
    <row r="1" customFormat="false" ht="17.35" hidden="false" customHeight="false" outlineLevel="0" collapsed="false">
      <c r="A1" s="9" t="s">
        <v>306</v>
      </c>
    </row>
    <row r="2" customFormat="false" ht="60" hidden="false" customHeight="true" outlineLevel="0" collapsed="false">
      <c r="A2" s="8" t="s">
        <v>307</v>
      </c>
    </row>
    <row r="4" customFormat="false" ht="15" hidden="false" customHeight="false" outlineLevel="0" collapsed="false">
      <c r="A4" s="10" t="s">
        <v>308</v>
      </c>
      <c r="B4" s="10" t="s">
        <v>309</v>
      </c>
      <c r="C4" s="10" t="s">
        <v>310</v>
      </c>
      <c r="D4" s="10" t="s">
        <v>311</v>
      </c>
      <c r="E4" s="10" t="s">
        <v>312</v>
      </c>
      <c r="F4" s="10" t="s">
        <v>313</v>
      </c>
      <c r="G4" s="10" t="s">
        <v>314</v>
      </c>
    </row>
    <row r="5" customFormat="false" ht="15" hidden="false" customHeight="false" outlineLevel="0" collapsed="false">
      <c r="A5" s="0" t="s">
        <v>315</v>
      </c>
      <c r="B5" s="45" t="n">
        <v>15000</v>
      </c>
      <c r="C5" s="45" t="n">
        <v>0.24</v>
      </c>
      <c r="D5" s="45" t="n">
        <v>1000</v>
      </c>
      <c r="E5" s="0" t="n">
        <f aca="false">IF(OR(B5=0,D5=0),"n/a",IF(D5&lt;=B5*C5/12,"payment &lt; interest — never pays off",NPER(C5/12,-D5,B5)))</f>
        <v>18.0114960810044</v>
      </c>
      <c r="F5" s="0" t="n">
        <f aca="false">IF(OR(B5=0,D5=0),"n/a",IF(D5&lt;=B5*C5/12,"n/a",E5*D5-B5))</f>
        <v>3011.49608100444</v>
      </c>
      <c r="G5" s="8" t="s">
        <v>316</v>
      </c>
    </row>
    <row r="6" customFormat="false" ht="28.35" hidden="false" customHeight="false" outlineLevel="0" collapsed="false">
      <c r="A6" s="0" t="s">
        <v>317</v>
      </c>
      <c r="B6" s="45" t="n">
        <v>7060</v>
      </c>
      <c r="C6" s="45" t="n">
        <v>0.21</v>
      </c>
      <c r="D6" s="45" t="n">
        <v>1235</v>
      </c>
      <c r="E6" s="0" t="n">
        <f aca="false">IF(OR(B6=0,D6=0),"n/a",IF(D6&lt;=B6*C6/12,"payment &lt; interest — never pays off",NPER(C6/12,-D6,B6)))</f>
        <v>6.07572184583847</v>
      </c>
      <c r="F6" s="0" t="n">
        <f aca="false">IF(OR(B6=0,D6=0),"n/a",IF(D6&lt;=B6*C6/12,"n/a",E6*D6-B6))</f>
        <v>443.516479610504</v>
      </c>
      <c r="G6" s="8" t="s">
        <v>318</v>
      </c>
    </row>
    <row r="7" customFormat="false" ht="15" hidden="false" customHeight="false" outlineLevel="0" collapsed="false">
      <c r="A7" s="0" t="s">
        <v>319</v>
      </c>
      <c r="B7" s="45" t="n">
        <v>0</v>
      </c>
      <c r="C7" s="45" t="n">
        <v>0</v>
      </c>
      <c r="D7" s="45" t="n">
        <v>0</v>
      </c>
      <c r="E7" s="0" t="str">
        <f aca="false">IF(OR(B7=0,D7=0),"n/a",IF(D7&lt;=B7*C7/12,"payment &lt; interest — never pays off",NPER(C7/12,-D7,B7)))</f>
        <v>n/a</v>
      </c>
      <c r="F7" s="0" t="str">
        <f aca="false">IF(OR(B7=0,D7=0),"n/a",IF(D7&lt;=B7*C7/12,"n/a",E7*D7-B7))</f>
        <v>n/a</v>
      </c>
      <c r="G7" s="8"/>
    </row>
    <row r="12" customFormat="false" ht="15" hidden="false" customHeight="false" outlineLevel="0" collapsed="false">
      <c r="A12" s="7" t="s">
        <v>320</v>
      </c>
      <c r="B12" s="7" t="n">
        <f aca="false">SUM(B5:B7)</f>
        <v>22060</v>
      </c>
    </row>
    <row r="13" customFormat="false" ht="15" hidden="false" customHeight="false" outlineLevel="0" collapsed="false">
      <c r="A13" s="0" t="s">
        <v>321</v>
      </c>
      <c r="B13" s="0" t="n">
        <f aca="false">B12-22060</f>
        <v>0</v>
      </c>
    </row>
    <row r="15" customFormat="false" ht="75" hidden="false" customHeight="true" outlineLevel="0" collapsed="false">
      <c r="A15" s="8"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52"/>
    <col collapsed="false" customWidth="true" hidden="false" outlineLevel="0" max="4" min="4" style="0" width="50"/>
  </cols>
  <sheetData>
    <row r="1" customFormat="false" ht="17.35" hidden="false" customHeight="false" outlineLevel="0" collapsed="false">
      <c r="A1" s="9" t="s">
        <v>323</v>
      </c>
    </row>
    <row r="3" customFormat="false" ht="15" hidden="false" customHeight="false" outlineLevel="0" collapsed="false">
      <c r="A3" s="10" t="s">
        <v>189</v>
      </c>
      <c r="B3" s="10" t="s">
        <v>174</v>
      </c>
      <c r="C3" s="10" t="s">
        <v>324</v>
      </c>
      <c r="D3" s="10" t="s">
        <v>325</v>
      </c>
    </row>
    <row r="4" customFormat="false" ht="15" hidden="false" customHeight="false" outlineLevel="0" collapsed="false">
      <c r="A4" s="8" t="s">
        <v>208</v>
      </c>
      <c r="B4" s="8" t="s">
        <v>326</v>
      </c>
      <c r="C4" s="8" t="s">
        <v>327</v>
      </c>
      <c r="D4" s="8" t="s">
        <v>328</v>
      </c>
    </row>
    <row r="5" customFormat="false" ht="15" hidden="false" customHeight="false" outlineLevel="0" collapsed="false">
      <c r="A5" s="8" t="s">
        <v>208</v>
      </c>
      <c r="B5" s="8" t="s">
        <v>326</v>
      </c>
      <c r="C5" s="8" t="s">
        <v>329</v>
      </c>
      <c r="D5" s="8" t="s">
        <v>328</v>
      </c>
    </row>
    <row r="6" customFormat="false" ht="15" hidden="false" customHeight="false" outlineLevel="0" collapsed="false">
      <c r="A6" s="8" t="s">
        <v>208</v>
      </c>
      <c r="B6" s="8" t="s">
        <v>326</v>
      </c>
      <c r="C6" s="8" t="s">
        <v>330</v>
      </c>
      <c r="D6" s="8" t="s">
        <v>331</v>
      </c>
    </row>
    <row r="7" customFormat="false" ht="28.35" hidden="false" customHeight="false" outlineLevel="0" collapsed="false">
      <c r="A7" s="8" t="s">
        <v>202</v>
      </c>
      <c r="B7" s="8" t="s">
        <v>332</v>
      </c>
      <c r="C7" s="8" t="s">
        <v>333</v>
      </c>
      <c r="D7" s="8" t="s">
        <v>334</v>
      </c>
    </row>
    <row r="8" customFormat="false" ht="15" hidden="false" customHeight="false" outlineLevel="0" collapsed="false">
      <c r="A8" s="8" t="s">
        <v>202</v>
      </c>
      <c r="B8" s="8" t="s">
        <v>332</v>
      </c>
      <c r="C8" s="8" t="s">
        <v>335</v>
      </c>
      <c r="D8" s="8" t="s">
        <v>328</v>
      </c>
    </row>
    <row r="9" customFormat="false" ht="15" hidden="false" customHeight="false" outlineLevel="0" collapsed="false">
      <c r="A9" s="8" t="s">
        <v>202</v>
      </c>
      <c r="B9" s="8" t="s">
        <v>332</v>
      </c>
      <c r="C9" s="8" t="s">
        <v>336</v>
      </c>
      <c r="D9" s="8" t="s">
        <v>337</v>
      </c>
    </row>
    <row r="11" customFormat="false" ht="39.75" hidden="false" customHeight="true" outlineLevel="0" collapsed="false">
      <c r="A11" s="8"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5" min="3" style="0" width="16"/>
    <col collapsed="false" customWidth="true" hidden="false" outlineLevel="0" max="6" min="6" style="0" width="14"/>
    <col collapsed="false" customWidth="true" hidden="false" outlineLevel="0" max="7" min="7" style="0" width="52"/>
  </cols>
  <sheetData>
    <row r="1" customFormat="false" ht="17.35" hidden="false" customHeight="false" outlineLevel="0" collapsed="false">
      <c r="A1" s="20" t="s">
        <v>339</v>
      </c>
    </row>
    <row r="2" customFormat="false" ht="34.5" hidden="false" customHeight="true" outlineLevel="0" collapsed="false">
      <c r="A2" s="21" t="s">
        <v>340</v>
      </c>
    </row>
    <row r="4" customFormat="false" ht="30" hidden="false" customHeight="true" outlineLevel="0" collapsed="false">
      <c r="A4" s="22" t="s">
        <v>341</v>
      </c>
      <c r="B4" s="22" t="s">
        <v>189</v>
      </c>
      <c r="C4" s="22" t="s">
        <v>342</v>
      </c>
      <c r="D4" s="22" t="s">
        <v>343</v>
      </c>
      <c r="E4" s="22" t="s">
        <v>344</v>
      </c>
      <c r="F4" s="22" t="s">
        <v>345</v>
      </c>
      <c r="G4" s="22" t="s">
        <v>314</v>
      </c>
    </row>
    <row r="5" customFormat="false" ht="27.75" hidden="false" customHeight="true" outlineLevel="0" collapsed="false">
      <c r="A5" s="46" t="s">
        <v>346</v>
      </c>
      <c r="B5" s="25" t="s">
        <v>202</v>
      </c>
      <c r="C5" s="24" t="n">
        <v>305065.9</v>
      </c>
      <c r="D5" s="24" t="n">
        <v>238467.8</v>
      </c>
      <c r="E5" s="25" t="s">
        <v>205</v>
      </c>
      <c r="F5" s="24" t="n">
        <v>49015.48</v>
      </c>
      <c r="G5" s="21" t="s">
        <v>347</v>
      </c>
    </row>
    <row r="6" customFormat="false" ht="27.75" hidden="false" customHeight="true" outlineLevel="0" collapsed="false">
      <c r="A6" s="46" t="s">
        <v>348</v>
      </c>
      <c r="B6" s="25" t="s">
        <v>202</v>
      </c>
      <c r="C6" s="24" t="n">
        <v>113924.1</v>
      </c>
      <c r="D6" s="24" t="n">
        <v>131513.07</v>
      </c>
      <c r="E6" s="25" t="s">
        <v>205</v>
      </c>
      <c r="F6" s="24" t="n">
        <v>35305.16</v>
      </c>
      <c r="G6" s="21" t="s">
        <v>349</v>
      </c>
    </row>
    <row r="7" customFormat="false" ht="27.75" hidden="false" customHeight="true" outlineLevel="0" collapsed="false">
      <c r="A7" s="46" t="s">
        <v>350</v>
      </c>
      <c r="B7" s="25" t="s">
        <v>351</v>
      </c>
      <c r="C7" s="24" t="n">
        <v>7200</v>
      </c>
      <c r="D7" s="25" t="s">
        <v>205</v>
      </c>
      <c r="E7" s="25" t="s">
        <v>205</v>
      </c>
      <c r="F7" s="25" t="s">
        <v>205</v>
      </c>
      <c r="G7" s="21" t="s">
        <v>352</v>
      </c>
    </row>
    <row r="8" customFormat="false" ht="27.75" hidden="false" customHeight="true" outlineLevel="0" collapsed="false">
      <c r="A8" s="46" t="s">
        <v>353</v>
      </c>
      <c r="B8" s="25" t="s">
        <v>202</v>
      </c>
      <c r="C8" s="25" t="s">
        <v>205</v>
      </c>
      <c r="D8" s="24" t="n">
        <v>549.89</v>
      </c>
      <c r="E8" s="25" t="s">
        <v>205</v>
      </c>
      <c r="F8" s="24" t="n">
        <v>249.95</v>
      </c>
      <c r="G8" s="21" t="s">
        <v>354</v>
      </c>
    </row>
    <row r="9" customFormat="false" ht="27.75" hidden="false" customHeight="true" outlineLevel="0" collapsed="false">
      <c r="A9" s="46" t="s">
        <v>355</v>
      </c>
      <c r="B9" s="25" t="s">
        <v>202</v>
      </c>
      <c r="C9" s="25" t="s">
        <v>205</v>
      </c>
      <c r="D9" s="24" t="n">
        <v>561.22</v>
      </c>
      <c r="E9" s="25" t="s">
        <v>205</v>
      </c>
      <c r="F9" s="24" t="n">
        <v>408.16</v>
      </c>
      <c r="G9" s="21" t="s">
        <v>356</v>
      </c>
    </row>
    <row r="10" customFormat="false" ht="27.75" hidden="false" customHeight="true" outlineLevel="0" collapsed="false">
      <c r="A10" s="46" t="s">
        <v>357</v>
      </c>
      <c r="B10" s="25" t="s">
        <v>202</v>
      </c>
      <c r="C10" s="25" t="s">
        <v>205</v>
      </c>
      <c r="D10" s="25" t="s">
        <v>205</v>
      </c>
      <c r="E10" s="25" t="s">
        <v>205</v>
      </c>
      <c r="F10" s="25" t="s">
        <v>205</v>
      </c>
      <c r="G10" s="21" t="s">
        <v>358</v>
      </c>
    </row>
    <row r="11" customFormat="false" ht="27.75" hidden="false" customHeight="true" outlineLevel="0" collapsed="false">
      <c r="A11" s="46" t="s">
        <v>359</v>
      </c>
      <c r="B11" s="25" t="s">
        <v>202</v>
      </c>
      <c r="C11" s="25" t="s">
        <v>205</v>
      </c>
      <c r="D11" s="24" t="n">
        <v>1410.21</v>
      </c>
      <c r="E11" s="25" t="s">
        <v>205</v>
      </c>
      <c r="F11" s="25" t="s">
        <v>205</v>
      </c>
      <c r="G11" s="21" t="s">
        <v>360</v>
      </c>
    </row>
    <row r="12" customFormat="false" ht="27.75" hidden="false" customHeight="true" outlineLevel="0" collapsed="false">
      <c r="A12" s="46" t="s">
        <v>361</v>
      </c>
      <c r="B12" s="25" t="s">
        <v>202</v>
      </c>
      <c r="C12" s="25" t="s">
        <v>205</v>
      </c>
      <c r="D12" s="24" t="n">
        <v>855.13</v>
      </c>
      <c r="E12" s="25" t="s">
        <v>205</v>
      </c>
      <c r="F12" s="24" t="n">
        <v>329.16</v>
      </c>
      <c r="G12" s="21" t="s">
        <v>362</v>
      </c>
    </row>
    <row r="13" customFormat="false" ht="27.75" hidden="false" customHeight="true" outlineLevel="0" collapsed="false">
      <c r="A13" s="46" t="s">
        <v>363</v>
      </c>
      <c r="B13" s="25" t="s">
        <v>202</v>
      </c>
      <c r="C13" s="25" t="s">
        <v>205</v>
      </c>
      <c r="D13" s="24" t="n">
        <v>1528.34</v>
      </c>
      <c r="E13" s="25" t="s">
        <v>205</v>
      </c>
      <c r="F13" s="24" t="n">
        <v>610.02</v>
      </c>
      <c r="G13" s="21" t="s">
        <v>364</v>
      </c>
    </row>
    <row r="14" customFormat="false" ht="27.75" hidden="false" customHeight="true" outlineLevel="0" collapsed="false">
      <c r="A14" s="46" t="s">
        <v>365</v>
      </c>
      <c r="B14" s="25" t="s">
        <v>351</v>
      </c>
      <c r="C14" s="25" t="s">
        <v>205</v>
      </c>
      <c r="D14" s="25" t="s">
        <v>205</v>
      </c>
      <c r="E14" s="24" t="n">
        <v>130976.23</v>
      </c>
      <c r="F14" s="25" t="s">
        <v>205</v>
      </c>
      <c r="G14" s="21" t="s">
        <v>366</v>
      </c>
    </row>
    <row r="16" customFormat="false" ht="39.75" hidden="false" customHeight="true" outlineLevel="0" collapsed="false">
      <c r="A16" s="47" t="s">
        <v>367</v>
      </c>
      <c r="C16" s="48" t="n">
        <v>305065.9</v>
      </c>
      <c r="D16" s="48" t="n">
        <v>374885.66</v>
      </c>
      <c r="E16" s="25" t="s">
        <v>205</v>
      </c>
      <c r="F16" s="48" t="n">
        <v>85917.93</v>
      </c>
      <c r="G16" s="49" t="s">
        <v>368</v>
      </c>
    </row>
    <row r="18" customFormat="false" ht="15" hidden="false" customHeight="false" outlineLevel="0" collapsed="false">
      <c r="A18" s="50" t="s">
        <v>369</v>
      </c>
      <c r="B18" s="50"/>
      <c r="C18" s="50"/>
      <c r="D18" s="50"/>
      <c r="E18" s="50"/>
      <c r="F18" s="50"/>
      <c r="G18" s="50"/>
    </row>
    <row r="19" customFormat="false" ht="15" hidden="false" customHeight="false" outlineLevel="0" collapsed="false">
      <c r="A19" s="51" t="s">
        <v>370</v>
      </c>
      <c r="B19" s="51"/>
      <c r="C19" s="51"/>
      <c r="D19" s="51"/>
      <c r="E19" s="51"/>
      <c r="F19" s="51"/>
      <c r="G19" s="51"/>
    </row>
    <row r="20" customFormat="false" ht="15" hidden="false" customHeight="false" outlineLevel="0" collapsed="false">
      <c r="A20" s="51" t="s">
        <v>371</v>
      </c>
      <c r="B20" s="51"/>
      <c r="C20" s="51"/>
      <c r="D20" s="51"/>
      <c r="E20" s="51"/>
      <c r="F20" s="51"/>
      <c r="G20" s="51"/>
    </row>
    <row r="21" customFormat="false" ht="15" hidden="false" customHeight="false" outlineLevel="0" collapsed="false">
      <c r="A21" s="51" t="s">
        <v>372</v>
      </c>
      <c r="B21" s="51"/>
      <c r="C21" s="51"/>
      <c r="D21" s="51"/>
      <c r="E21" s="51"/>
      <c r="F21" s="51"/>
      <c r="G21" s="51"/>
    </row>
    <row r="22" customFormat="false" ht="15" hidden="false" customHeight="false" outlineLevel="0" collapsed="false">
      <c r="A22" s="51" t="s">
        <v>373</v>
      </c>
      <c r="B22" s="51"/>
      <c r="C22" s="51"/>
      <c r="D22" s="51"/>
      <c r="E22" s="51"/>
      <c r="F22" s="51"/>
      <c r="G22" s="51"/>
    </row>
    <row r="23" customFormat="false" ht="15" hidden="false" customHeight="false" outlineLevel="0" collapsed="false">
      <c r="A23" s="51" t="s">
        <v>374</v>
      </c>
      <c r="B23" s="51"/>
      <c r="C23" s="51"/>
      <c r="D23" s="51"/>
      <c r="E23" s="51"/>
      <c r="F23" s="51"/>
      <c r="G23" s="51"/>
    </row>
    <row r="24" customFormat="false" ht="15" hidden="false" customHeight="false" outlineLevel="0" collapsed="false">
      <c r="A24" s="51" t="s">
        <v>375</v>
      </c>
      <c r="B24" s="51"/>
      <c r="C24" s="51"/>
      <c r="D24" s="51"/>
      <c r="E24" s="51"/>
      <c r="F24" s="51"/>
      <c r="G24" s="51"/>
    </row>
    <row r="25" customFormat="false" ht="15" hidden="false" customHeight="false" outlineLevel="0" collapsed="false">
      <c r="A25" s="51" t="s">
        <v>376</v>
      </c>
      <c r="B25" s="51"/>
      <c r="C25" s="51"/>
      <c r="D25" s="51"/>
      <c r="E25" s="51"/>
      <c r="F25" s="51"/>
      <c r="G25" s="51"/>
    </row>
    <row r="27" customFormat="false" ht="15" hidden="false" customHeight="false" outlineLevel="0" collapsed="false">
      <c r="A27" s="7" t="s">
        <v>377</v>
      </c>
    </row>
    <row r="28" customFormat="false" ht="15" hidden="false" customHeight="false" outlineLevel="0" collapsed="false">
      <c r="A28" s="10" t="s">
        <v>378</v>
      </c>
      <c r="B28" s="10" t="s">
        <v>379</v>
      </c>
      <c r="C28" s="10" t="s">
        <v>26</v>
      </c>
      <c r="D28" s="10" t="s">
        <v>380</v>
      </c>
      <c r="E28" s="10"/>
      <c r="F28" s="10"/>
      <c r="G28" s="10"/>
    </row>
    <row r="29" customFormat="false" ht="55.2" hidden="false" customHeight="false" outlineLevel="0" collapsed="false">
      <c r="A29" s="8" t="s">
        <v>350</v>
      </c>
      <c r="B29" s="8" t="s">
        <v>381</v>
      </c>
      <c r="C29" s="8" t="n">
        <v>7200</v>
      </c>
      <c r="D29" s="8" t="s">
        <v>382</v>
      </c>
    </row>
    <row r="30" customFormat="false" ht="41.75" hidden="false" customHeight="false" outlineLevel="0" collapsed="false">
      <c r="A30" s="8" t="s">
        <v>383</v>
      </c>
      <c r="B30" s="8" t="s">
        <v>384</v>
      </c>
      <c r="C30" s="8" t="n">
        <v>1529.83</v>
      </c>
      <c r="D30" s="8" t="s">
        <v>385</v>
      </c>
    </row>
    <row r="31" customFormat="false" ht="68.65" hidden="false" customHeight="false" outlineLevel="0" collapsed="false">
      <c r="A31" s="8" t="s">
        <v>386</v>
      </c>
      <c r="B31" s="8" t="s">
        <v>384</v>
      </c>
      <c r="C31" s="8" t="n">
        <v>3266.67</v>
      </c>
      <c r="D31" s="8" t="s">
        <v>387</v>
      </c>
    </row>
    <row r="32" customFormat="false" ht="41.75" hidden="false" customHeight="false" outlineLevel="0" collapsed="false">
      <c r="A32" s="8" t="s">
        <v>388</v>
      </c>
      <c r="B32" s="8" t="s">
        <v>384</v>
      </c>
      <c r="C32" s="8" t="n">
        <v>1742.31</v>
      </c>
      <c r="D32" s="8" t="s">
        <v>389</v>
      </c>
    </row>
    <row r="33" customFormat="false" ht="41.75" hidden="false" customHeight="false" outlineLevel="0" collapsed="false">
      <c r="A33" s="8" t="s">
        <v>390</v>
      </c>
      <c r="B33" s="8" t="s">
        <v>384</v>
      </c>
      <c r="C33" s="8" t="n">
        <v>1029.58</v>
      </c>
      <c r="D33" s="8" t="s">
        <v>391</v>
      </c>
    </row>
    <row r="34" customFormat="false" ht="68.65" hidden="false" customHeight="false" outlineLevel="0" collapsed="false">
      <c r="A34" s="8" t="s">
        <v>392</v>
      </c>
      <c r="B34" s="8" t="s">
        <v>384</v>
      </c>
      <c r="C34" s="8" t="n">
        <v>1410.21</v>
      </c>
      <c r="D34" s="8" t="s">
        <v>393</v>
      </c>
    </row>
    <row r="35" customFormat="false" ht="82.05" hidden="false" customHeight="false" outlineLevel="0" collapsed="false">
      <c r="A35" s="8" t="s">
        <v>390</v>
      </c>
      <c r="B35" s="8" t="s">
        <v>394</v>
      </c>
      <c r="C35" s="8" t="n">
        <v>1974.31</v>
      </c>
      <c r="D35" s="8" t="s">
        <v>395</v>
      </c>
    </row>
    <row r="36" customFormat="false" ht="45" hidden="false" customHeight="true" outlineLevel="0" collapsed="false">
      <c r="A36" s="8" t="s">
        <v>396</v>
      </c>
    </row>
  </sheetData>
  <mergeCells count="8">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2026-06-30T09:50:12Z</dcterms:created>
  <dc:creator>openpyxl</dc:creator>
  <dc:description/>
  <dc:language>en-US</dc:language>
  <cp:lastModifiedBy/>
  <dcterms:modified xsi:type="dcterms:W3CDTF">2026-07-02T20:29:06Z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