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th_A_vs_B_Decision" sheetId="1" state="visible" r:id="rId3"/>
    <sheet name="Revenue_Theory_Test" sheetId="2" state="visible" r:id="rId4"/>
    <sheet name="Bridge_2024_Final" sheetId="3" state="visible" r:id="rId5"/>
    <sheet name="Entity_Map_GoForward" sheetId="4" state="visible" r:id="rId6"/>
    <sheet name="SGM_Debt_Service_Model" sheetId="5" state="visible" r:id="rId7"/>
    <sheet name="SPLT_Impact" sheetId="6" state="visible" r:id="rId8"/>
    <sheet name="Proposal_Term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<sst xmlns="http://schemas.openxmlformats.org/spreadsheetml/2006/main" count="153" uniqueCount="148">
  <si>
    <t xml:space="preserve">THE STRUCTURAL FORK — SBA Letter Trade-off (decision-ready 7/3/26)</t>
  </si>
  <si>
    <t xml:space="preserve">The SBA collateral covenant triggers on a SALE/TRANSFER of collateral (molds, inventory, channels), NOT on management fees. A fee of any size does not avoid the letter. The real choice is where the assets sit.</t>
  </si>
  <si>
    <t xml:space="preserve">PATH A — SPLT is the whole business</t>
  </si>
  <si>
    <t xml:space="preserve">PATH B — SGM keeps its assets</t>
  </si>
  <si>
    <t xml:space="preserve">What SPLT owns</t>
  </si>
  <si>
    <t xml:space="preserve">Patent (assigned) + brand + DTC + ALL marketplaces + molds + inventory</t>
  </si>
  <si>
    <t xml:space="preserve">Patent (assigned) + brand + DTC only</t>
  </si>
  <si>
    <t xml:space="preserve">What moves from SGM</t>
  </si>
  <si>
    <t xml:space="preserve">Molds, inventory, 4 legacy channels -&gt; SPLT</t>
  </si>
  <si>
    <t xml:space="preserve">Nothing moves</t>
  </si>
  <si>
    <t xml:space="preserve">SBA consent letter</t>
  </si>
  <si>
    <t xml:space="preserve">REQUIRED (collateral transfers)</t>
  </si>
  <si>
    <t xml:space="preserve">NOT required (no transfer)</t>
  </si>
  <si>
    <t xml:space="preserve">SBA serviced by</t>
  </si>
  <si>
    <t xml:space="preserve">SGM from FMV note proceeds + founder</t>
  </si>
  <si>
    <t xml:space="preserve">SGM from its retained channel income</t>
  </si>
  <si>
    <t xml:space="preserve">Fraudulent-transfer risk</t>
  </si>
  <si>
    <t xml:space="preserve">Cured by FMV note + SBA acknowledgment</t>
  </si>
  <si>
    <t xml:space="preserve">None — assets stay put</t>
  </si>
  <si>
    <t xml:space="preserve">What Kendra buys 25% of</t>
  </si>
  <si>
    <t xml:space="preserve">A complete, self-contained operating company</t>
  </si>
  <si>
    <t xml:space="preserve">A narrower co: IP+DTC, dependent on SGM for supply/legacy retail</t>
  </si>
  <si>
    <t xml:space="preserve">New diligence flag introduced</t>
  </si>
  <si>
    <t xml:space="preserve">One SBA servicing letter on a current loan</t>
  </si>
  <si>
    <t xml:space="preserve">SPLT depends on affiliate SGM for product supply</t>
  </si>
  <si>
    <t xml:space="preserve">Papers needed</t>
  </si>
  <si>
    <t xml:space="preserve">Separation+Allocation, FMV note, SBA letter, supply terms</t>
  </si>
  <si>
    <t xml:space="preserve">Product Supply Agreement (SGM-&gt;SPLT, cost-plus); Distribution stays w/ SGM</t>
  </si>
  <si>
    <t xml:space="preserve">Founder comp</t>
  </si>
  <si>
    <t xml:space="preserve">$75-80K W-2 from SPLT</t>
  </si>
  <si>
    <t xml:space="preserve">Recommendation</t>
  </si>
  <si>
    <t xml:space="preserve">CLEANEST INVESTEE — pay the letter</t>
  </si>
  <si>
    <t xml:space="preserve">AVOIDS LETTER — but weaker company story; disclose supply dependency</t>
  </si>
  <si>
    <t xml:space="preserve">ADVISOR VIEW: Path A produces the fundable company and the SBA letter is a routine servicing request on a CURRENT loan — not a red flag if framed as fair-value consideration that IMPROVES the SBA's position. Path B genuinely avoids the letter but you must tell Kendra's team SPLT depends on SGM for supply and legacy retail — a real, smaller flag. Do NOT use a large management fee to try to bridge Path B: it reintroduces reasonable-comp and debt-shifting problems the W-2 already solves. Pick the path on COMPANY strategy (is SPLT the whole business or not?), not on avoiding one letter.</t>
  </si>
  <si>
    <t xml:space="preserve">Combined-Revenue Theory — Status &amp; Gate</t>
  </si>
  <si>
    <t xml:space="preserve">SGM-attributable receipts in SGM account (mgmt final attribution)</t>
  </si>
  <si>
    <t xml:space="preserve">Combined filed 2024 revenue (SGM 1120-S 418,990 + Cyberbrands Sch C 139,613)</t>
  </si>
  <si>
    <t xml:space="preserve">Difference (0.4% — supportive of "all reported, split across two returns")</t>
  </si>
  <si>
    <t xml:space="preserve">UNPROVEN #1: Teslarati+Shaed+Munro ($65,349) also hit this account, said NOT SGM — must sit inside one return or combined filed is understated</t>
  </si>
  <si>
    <t xml:space="preserve">UNPROVEN #2: Cyberbrands had its OWN account; the $139,613 Sch C must cover THAT revenue too, not only the $40,147 that reached SGM</t>
  </si>
  <si>
    <t xml:space="preserve">GATE: This theory is SUPPORTIVE but NOT PROVEN. The single deliverable that resolves it is the CPA composition workpaper for Cyberbrands' $139,613 Schedule C — showing exactly which receipts (across BOTH the Cyberbrands account and the SGM account) make up that number. If it confirms allocation-not-omission, the 2024 story is clean and the fix is entity-level amendments or a CPA allocation memo. Obtain before diligence.</t>
  </si>
  <si>
    <t xml:space="preserve">2024 Revenue Bridge — CLOSED (documents verified 7/3/26)</t>
  </si>
  <si>
    <t xml:space="preserve">Item</t>
  </si>
  <si>
    <t xml:space="preserve">Amount ($)</t>
  </si>
  <si>
    <t xml:space="preserve">Notes</t>
  </si>
  <si>
    <t xml:space="preserve">Total 2024 deposits, SGM WF acct ...8625 (906 lines, tied to statements)</t>
  </si>
  <si>
    <t xml:space="preserve">Less: non-revenue inflows (itemized, SGM_2024_Deposit_Classification_Schedule_v2)</t>
  </si>
  <si>
    <t xml:space="preserve">Founder/family $214,479; Cyberbrands transfers $40,147; Parafin $5,300; refunds $9,540; interest $1</t>
  </si>
  <si>
    <t xml:space="preserve">Sales-type receipts landing in SGM account (net of platform fees)</t>
  </si>
  <si>
    <t xml:space="preserve">Reported: SGM 1120-S gross receipts (VERIFIED from filed return, EIN 83-3077502)</t>
  </si>
  <si>
    <t xml:space="preserve">COGS $270,032; ordinary loss -$33,351 = K-1 on founder 1040</t>
  </si>
  <si>
    <t xml:space="preserve">Reported: Cyberbrands LLC Schedule C gross receipts (VERIFIED from filed 1040)</t>
  </si>
  <si>
    <t xml:space="preserve">Consulting code 541600; net profit $4,142</t>
  </si>
  <si>
    <t xml:space="preserve">Residual before allocation confirmation</t>
  </si>
  <si>
    <t xml:space="preserve">Less: ESP Promo wires plausibly inside Cyberbrands Schedule C (Cyberbackpack B2B)</t>
  </si>
  <si>
    <t xml:space="preserve">CPA TO CONFIRM composition of the $139,613</t>
  </si>
  <si>
    <t xml:space="preserve">Remaining residual (refunds/timing/fee noise)</t>
  </si>
  <si>
    <t xml:space="preserve">~1.6% of sales-type receipts — within normal cash-vs-books noise</t>
  </si>
  <si>
    <t xml:space="preserve">CONCLUSION: the on-air $895K = total deposits; filed 2024 revenue across returns = $558,603 (SGM 1120-S $418,990 + Cyberbrands Sch C $139,613). One CPA confirmation (ESP Promo inside the $139,613) reduces unexplained cash-to-books difference to ~$10K. Clarification Memo Section 3(b) can now be completed with these verified figures.</t>
  </si>
  <si>
    <t xml:space="preserve">Go-Forward Entity Architecture (proposed, effective 7/1/2026)</t>
  </si>
  <si>
    <t xml:space="preserve">SPLT INC (investee)</t>
  </si>
  <si>
    <t xml:space="preserve">Social Gear Media LLC</t>
  </si>
  <si>
    <t xml:space="preserve">Cyberbrands LLC</t>
  </si>
  <si>
    <t xml:space="preserve">Legal form / tax</t>
  </si>
  <si>
    <t xml:space="preserve">Delaware C corp</t>
  </si>
  <si>
    <t xml:space="preserve">CA LLC taxed as S corp (sole shareholder: founder)</t>
  </si>
  <si>
    <t xml:space="preserve">CA LLC, Schedule C (disregarded)</t>
  </si>
  <si>
    <t xml:space="preserve">Role</t>
  </si>
  <si>
    <t xml:space="preserve">Operating company: Splitflask brand, product, DTC + primary marketplaces</t>
  </si>
  <si>
    <t xml:space="preserve">Management company + legacy retail channels</t>
  </si>
  <si>
    <t xml:space="preserve">Founder consulting + Cyberbackpack/promo products + vehicle lessee</t>
  </si>
  <si>
    <t xml:space="preserve">Owns</t>
  </si>
  <si>
    <t xml:space="preserve">All Splitflask IP (patents, TMs, Hague designs — per 1/24/25 Assignment), new inventory, DTC/US-CA-MX Amazon/TikTok/Shopify accounts</t>
  </si>
  <si>
    <t xml:space="preserve">Macy's, Walmart legacy, Amazon SG, Amazon AU channel accounts; legacy molds/equipment until purchased</t>
  </si>
  <si>
    <t xml:space="preserve">Kickstarter account (assigned), Santander vehicle lease, its own client base</t>
  </si>
  <si>
    <t xml:space="preserve">Owes</t>
  </si>
  <si>
    <t xml:space="preserve">Chase card $22,055.63; founder revolving loan $13,879</t>
  </si>
  <si>
    <t xml:space="preserve">SBA EIDL $404,200 (PG: founder); Amex $25,327.77; family note $4,000</t>
  </si>
  <si>
    <t xml:space="preserve">(confirm any obligations)</t>
  </si>
  <si>
    <t xml:space="preserve">Receives from SPLT</t>
  </si>
  <si>
    <t xml:space="preserve">—</t>
  </si>
  <si>
    <t xml:space="preserve">(1) Contractor fee $[3,500]/mo for management services; (2) FMV note payments $[X] for transferred molds/inventory; (3) product at standard wholesale price</t>
  </si>
  <si>
    <t xml:space="preserve">Vehicle cost reimbursement at cost (documented)</t>
  </si>
  <si>
    <t xml:space="preserve">Pays to SPLT</t>
  </si>
  <si>
    <t xml:space="preserve">Wholesale price for Splitflask product sold on retained channels</t>
  </si>
  <si>
    <t xml:space="preserve">Investor exposure</t>
  </si>
  <si>
    <t xml:space="preserve">Kendra Scott: $350K for 25% — ONLY this entity</t>
  </si>
  <si>
    <t xml:space="preserve">None — disclosure only</t>
  </si>
  <si>
    <t xml:space="preserve">SGM Debt-Service Coverage Model — 36 months from 7/2026 (inputs in yellow)</t>
  </si>
  <si>
    <t xml:space="preserve">Contractor fee from SPLT ($/mo)</t>
  </si>
  <si>
    <t xml:space="preserve">SGM retained-channel revenue ($/mo, 2025 actual avg = 10,915)</t>
  </si>
  <si>
    <t xml:space="preserve">SGM channel gross margin % (2025 actual = 13.5%; target with arm's-length wholesale pricing)</t>
  </si>
  <si>
    <t xml:space="preserve">SGM operating overhead excl. debt ($/mo — platform/software/misc after separation)</t>
  </si>
  <si>
    <t xml:space="preserve">FMV asset-purchase note from SPLT: principal ($) — molds + 1/1/25 inventory, appraisal pending</t>
  </si>
  <si>
    <t xml:space="preserve">FMV note term (months)</t>
  </si>
  <si>
    <t xml:space="preserve">SGM W-2 wage to founder ($/mo — S-corp reasonable comp; CPA to size)</t>
  </si>
  <si>
    <t xml:space="preserve">SBA payment ($/mo, per Loan Authorization)</t>
  </si>
  <si>
    <t xml:space="preserve">Amex plan payment ($/mo, retires ~month 23)</t>
  </si>
  <si>
    <t xml:space="preserve">Amex months remaining (per 6/19/26 stmt disclosure)</t>
  </si>
  <si>
    <t xml:space="preserve">MONTHLY MODEL</t>
  </si>
  <si>
    <t xml:space="preserve">Line</t>
  </si>
  <si>
    <t xml:space="preserve">Months 1-23 (Amex live)</t>
  </si>
  <si>
    <t xml:space="preserve">Months 24-30 (note live)</t>
  </si>
  <si>
    <t xml:space="preserve">Months 31-36 (steady state)</t>
  </si>
  <si>
    <t xml:space="preserve">Sources: contractor fee</t>
  </si>
  <si>
    <t xml:space="preserve">Sources: channel gross profit</t>
  </si>
  <si>
    <t xml:space="preserve">Sources: FMV note payment from SPLT</t>
  </si>
  <si>
    <t xml:space="preserve">TOTAL SOURCES</t>
  </si>
  <si>
    <t xml:space="preserve">Uses: SBA EIDL</t>
  </si>
  <si>
    <t xml:space="preserve">Uses: Amex plan</t>
  </si>
  <si>
    <t xml:space="preserve">Uses: founder W-2 + payroll cost (est. x1.1)</t>
  </si>
  <si>
    <t xml:space="preserve">Uses: SGM overhead</t>
  </si>
  <si>
    <t xml:space="preserve">TOTAL USES</t>
  </si>
  <si>
    <t xml:space="preserve">NET MONTHLY SURPLUS / (DEFICIT)</t>
  </si>
  <si>
    <t xml:space="preserve">Debt-service coverage ratio (sources / debt pmts)</t>
  </si>
  <si>
    <t xml:space="preserve">READING: at $3,500/mo fee, months 1-23 run near break-even (fee + note + thin channel margin vs SBA+Amex+wage+overhead); from month 24 (Amex retired) SGM turns surplus and the fee could step down or continue as founder compensation. The 13.5% channel margin is the weak plank: 2025 COGS of $113,315 on $130,976 of revenue must be repriced under the Distribution Agreement at SPLT's standard wholesale — if retained channels cannot clear ~30% GM at arm's-length pricing, exit those channels and consolidate into SPLT rather than subsidize them. FMV note amount is an INPUT pending mold/inventory valuation — route note payments to SBA principal for the cleanest collateral story.</t>
  </si>
  <si>
    <t xml:space="preserve">SPLT INC — Related-Party Outflow Under the Proposed Arrangement</t>
  </si>
  <si>
    <t xml:space="preserve">$/month</t>
  </si>
  <si>
    <t xml:space="preserve">Character</t>
  </si>
  <si>
    <t xml:space="preserve">Diligence framing</t>
  </si>
  <si>
    <t xml:space="preserve">Contractor fee to SGM</t>
  </si>
  <si>
    <t xml:space="preserve">Services expense (founder comp vehicle)</t>
  </si>
  <si>
    <t xml:space="preserve">Below-market total comp for full-time CEO/ops of a ~$400-500K rev company; written agreement; invoiced monthly</t>
  </si>
  <si>
    <t xml:space="preserve">FMV note payment to SGM</t>
  </si>
  <si>
    <t xml:space="preserve">Asset purchase (molds + 1/1/25 inventory)</t>
  </si>
  <si>
    <t xml:space="preserve">Consideration for the January 2025 asset handover — cures the fraudulent-transfer gap; payments directed to SBA</t>
  </si>
  <si>
    <t xml:space="preserve">Vehicle cost reimbursement to Cyberbrands</t>
  </si>
  <si>
    <t xml:space="preserve">692</t>
  </si>
  <si>
    <t xml:space="preserve">At-cost reimbursement</t>
  </si>
  <si>
    <t xml:space="preserve">Documented in Vehicle Use Agreement; no markup</t>
  </si>
  <si>
    <t xml:space="preserve">TOTAL related-party outflow</t>
  </si>
  <si>
    <t xml:space="preserve">vs. $350K raise: ~1.9%/mo — modest and fully papered</t>
  </si>
  <si>
    <t xml:space="preserve">INFLOW side: SGM pays SPLT standard wholesale price for all Splitflask product sold on retained channels (same price list as Von Maur / Citiesocial / Everything Kitchen — an existing arm's-length benchmark). Kendra's $350K is NOT touched by any SGM obligation: use of funds = Chase payoff ($22,056), airing-spike inventory, marketing, working capital.</t>
  </si>
  <si>
    <t xml:space="preserve">THE PROPOSED ARRANGEMENT — one-page summary</t>
  </si>
  <si>
    <t xml:space="preserve">1. Contractor Services Agreement (drafted; fill fee)</t>
  </si>
  <si>
    <t xml:space="preserve">SPLT pays SGM $3,500/mo for management services, effective 7/1/26, forward-only. SGM runs a portion as W-2 reasonable comp to founder (CPA sizes; model uses $1,500/mo). Fee reviewed quarterly; steps up only after raise closes and by written amendment.</t>
  </si>
  <si>
    <t xml:space="preserve">2. Separation &amp; Asset Allocation Agreement (to draft)</t>
  </si>
  <si>
    <t xml:space="preserve">Memorializes 1/2025: Schedule A to SPLT (IP per Assignment, DTC/US marketplaces, new inventory); Schedule B retained by SGM (Macy's, Walmart, Amazon SG/AU) expressly to service SGM's own obligations. Express non-assumption of SGM liabilities by SPLT.</t>
  </si>
  <si>
    <t xml:space="preserve">3. FMV Asset Purchase Note (to draft; valuation input)</t>
  </si>
  <si>
    <t xml:space="preserve">SPLT buys the legacy molds + 1/1/25 inventory from SGM at appraised FMV (model placeholder $30,000, 30 months, payments routed to SBA principal). Cures "assets without compensation" and the SBA collateral-transfer covenant issue — pair with counsel outreach to SBA for consent/estoppel.</t>
  </si>
  <si>
    <t xml:space="preserve">4. Distribution &amp; License Agreement (to draft)</t>
  </si>
  <si>
    <t xml:space="preserve">SPLT licenses SGM to sell Splitflask on retained channels; SGM buys product at SPLT's standard wholesale price list. If channels can't clear ~30% GM at that pricing, wind them into SPLT instead of subsidizing.</t>
  </si>
  <si>
    <t xml:space="preserve">5. Existing executed drafts</t>
  </si>
  <si>
    <t xml:space="preserve">2025 Intercompany Settlement Memo ($5,550), family promissory note ($4,000), vehicle agreement, Kickstarter assignment, mold invoice, warehouse rental agreement — sign after attorney review.</t>
  </si>
  <si>
    <t xml:space="preserve">6. What Kendra's team sees</t>
  </si>
  <si>
    <t xml:space="preserve">SPLT-first package; related entities in a ring-fenced appendix behind a Liability Perimeter memo: SBA EIDL is SGM's, personally guaranteed by founder, serviced by SGM's own P&amp;L under items 1-4; zero SPLT guarantee; zero use of investment proceeds for affiliate debt.</t>
  </si>
  <si>
    <t xml:space="preserve">OPEN ITEMS</t>
  </si>
  <si>
    <t xml:space="preserve">(a) CPA: confirm ESP Promo inside Cyberbrands' $139,613; size reasonable comp; bless memo 3(b). (b) Counsel: SBA consent/covenant cure; conform assignment/stock consideration recitals. (c) Valuation: molds + 1/1/25 inventory. (d) USPTO recordation check. (e) Restate SGM 2025 figures in main workbook to 1120-S (-$32,900, not -$6,899).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</si>
</sst>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7A1F"/>
      <name val="Cambria"/>
      <family val="0"/>
      <charset val="1"/>
    </font>
    <font>
      <b val="true"/>
      <sz val="11"/>
      <color rgb="FFCC0000"/>
      <name val="Cambria"/>
      <family val="0"/>
      <charset val="1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7A1F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2"/>
  </cols>
  <sheetData>
    <row r="1" customFormat="false" ht="17.35" hidden="false" customHeight="false" outlineLevel="0" collapsed="false">
      <c r="A1" s="1" t="s">
        <v>0</v>
      </c>
    </row>
    <row r="2" customFormat="false" ht="39.75" hidden="false" customHeight="true" outlineLevel="0" collapsed="false">
      <c r="A2" s="2" t="s">
        <v>1</v>
      </c>
    </row>
    <row r="4" customFormat="false" ht="15" hidden="false" customHeight="false" outlineLevel="0" collapsed="false">
      <c r="A4" s="3"/>
      <c r="B4" s="3" t="s">
        <v>2</v>
      </c>
      <c r="C4" s="3" t="s">
        <v>3</v>
      </c>
    </row>
    <row r="5" customFormat="false" ht="43.5" hidden="false" customHeight="true" outlineLevel="0" collapsed="false">
      <c r="A5" s="2" t="s">
        <v>4</v>
      </c>
      <c r="B5" s="2" t="s">
        <v>5</v>
      </c>
      <c r="C5" s="2" t="s">
        <v>6</v>
      </c>
    </row>
    <row r="6" customFormat="false" ht="43.5" hidden="false" customHeight="true" outlineLevel="0" collapsed="false">
      <c r="A6" s="2" t="s">
        <v>7</v>
      </c>
      <c r="B6" s="2" t="s">
        <v>8</v>
      </c>
      <c r="C6" s="2" t="s">
        <v>9</v>
      </c>
    </row>
    <row r="7" customFormat="false" ht="43.5" hidden="false" customHeight="true" outlineLevel="0" collapsed="false">
      <c r="A7" s="2" t="s">
        <v>10</v>
      </c>
      <c r="B7" s="2" t="s">
        <v>11</v>
      </c>
      <c r="C7" s="2" t="s">
        <v>12</v>
      </c>
    </row>
    <row r="8" customFormat="false" ht="43.5" hidden="false" customHeight="true" outlineLevel="0" collapsed="false">
      <c r="A8" s="2" t="s">
        <v>13</v>
      </c>
      <c r="B8" s="2" t="s">
        <v>14</v>
      </c>
      <c r="C8" s="2" t="s">
        <v>15</v>
      </c>
    </row>
    <row r="9" customFormat="false" ht="43.5" hidden="false" customHeight="true" outlineLevel="0" collapsed="false">
      <c r="A9" s="2" t="s">
        <v>16</v>
      </c>
      <c r="B9" s="2" t="s">
        <v>17</v>
      </c>
      <c r="C9" s="2" t="s">
        <v>18</v>
      </c>
    </row>
    <row r="10" customFormat="false" ht="43.5" hidden="false" customHeight="true" outlineLevel="0" collapsed="false">
      <c r="A10" s="2" t="s">
        <v>19</v>
      </c>
      <c r="B10" s="2" t="s">
        <v>20</v>
      </c>
      <c r="C10" s="2" t="s">
        <v>21</v>
      </c>
    </row>
    <row r="11" customFormat="false" ht="43.5" hidden="false" customHeight="true" outlineLevel="0" collapsed="false">
      <c r="A11" s="2" t="s">
        <v>22</v>
      </c>
      <c r="B11" s="2" t="s">
        <v>23</v>
      </c>
      <c r="C11" s="2" t="s">
        <v>24</v>
      </c>
    </row>
    <row r="12" customFormat="false" ht="43.5" hidden="false" customHeight="true" outlineLevel="0" collapsed="false">
      <c r="A12" s="2" t="s">
        <v>25</v>
      </c>
      <c r="B12" s="2" t="s">
        <v>26</v>
      </c>
      <c r="C12" s="2" t="s">
        <v>27</v>
      </c>
    </row>
    <row r="13" customFormat="false" ht="43.5" hidden="false" customHeight="true" outlineLevel="0" collapsed="false">
      <c r="A13" s="2" t="s">
        <v>28</v>
      </c>
      <c r="B13" s="2" t="s">
        <v>29</v>
      </c>
      <c r="C13" s="2" t="s">
        <v>29</v>
      </c>
    </row>
    <row r="14" customFormat="false" ht="43.5" hidden="false" customHeight="true" outlineLevel="0" collapsed="false">
      <c r="A14" s="2" t="s">
        <v>30</v>
      </c>
      <c r="B14" s="2" t="s">
        <v>31</v>
      </c>
      <c r="C14" s="2" t="s">
        <v>32</v>
      </c>
    </row>
    <row r="16" customFormat="false" ht="109.5" hidden="false" customHeight="true" outlineLevel="0" collapsed="false">
      <c r="A16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34</v>
      </c>
    </row>
    <row r="3" customFormat="false" ht="39.75" hidden="false" customHeight="true" outlineLevel="0" collapsed="false">
      <c r="A3" s="5" t="s">
        <v>35</v>
      </c>
      <c r="B3" s="0" t="n">
        <v>560937.96</v>
      </c>
    </row>
    <row r="4" customFormat="false" ht="39.75" hidden="false" customHeight="true" outlineLevel="0" collapsed="false">
      <c r="A4" s="2" t="s">
        <v>36</v>
      </c>
      <c r="B4" s="0" t="n">
        <v>558603</v>
      </c>
    </row>
    <row r="5" customFormat="false" ht="39.75" hidden="false" customHeight="true" outlineLevel="0" collapsed="false">
      <c r="A5" s="5" t="s">
        <v>37</v>
      </c>
      <c r="B5" s="0" t="n">
        <v>2334.96</v>
      </c>
    </row>
    <row r="6" customFormat="false" ht="39.75" hidden="false" customHeight="true" outlineLevel="0" collapsed="false">
      <c r="A6" s="2"/>
    </row>
    <row r="7" customFormat="false" ht="39.75" hidden="false" customHeight="true" outlineLevel="0" collapsed="false">
      <c r="A7" s="6" t="s">
        <v>38</v>
      </c>
      <c r="B7" s="0" t="n">
        <v>65349</v>
      </c>
    </row>
    <row r="8" customFormat="false" ht="39.75" hidden="false" customHeight="true" outlineLevel="0" collapsed="false">
      <c r="A8" s="6" t="s">
        <v>39</v>
      </c>
    </row>
    <row r="10" customFormat="false" ht="90" hidden="false" customHeight="true" outlineLevel="0" collapsed="false">
      <c r="A10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72"/>
    <col collapsed="false" customWidth="true" hidden="false" outlineLevel="0" max="2" min="2" style="7" width="15"/>
    <col collapsed="false" customWidth="true" hidden="false" outlineLevel="0" max="3" min="3" style="7" width="55"/>
  </cols>
  <sheetData>
    <row r="1" customFormat="false" ht="17.25" hidden="false" customHeight="true" outlineLevel="0" collapsed="false">
      <c r="A1" s="8" t="s">
        <v>41</v>
      </c>
    </row>
    <row r="3" customFormat="false" ht="15" hidden="false" customHeight="true" outlineLevel="0" collapsed="false">
      <c r="A3" s="9" t="s">
        <v>42</v>
      </c>
      <c r="B3" s="9" t="s">
        <v>43</v>
      </c>
      <c r="C3" s="9" t="s">
        <v>44</v>
      </c>
    </row>
    <row r="4" customFormat="false" ht="30" hidden="false" customHeight="true" outlineLevel="0" collapsed="false">
      <c r="A4" s="2" t="s">
        <v>45</v>
      </c>
      <c r="B4" s="7" t="n">
        <v>895754.12</v>
      </c>
      <c r="C4" s="2"/>
    </row>
    <row r="5" customFormat="false" ht="30" hidden="false" customHeight="true" outlineLevel="0" collapsed="false">
      <c r="A5" s="2" t="s">
        <v>46</v>
      </c>
      <c r="B5" s="7" t="n">
        <v>-269467.48</v>
      </c>
      <c r="C5" s="2" t="s">
        <v>47</v>
      </c>
    </row>
    <row r="6" customFormat="false" ht="30" hidden="false" customHeight="true" outlineLevel="0" collapsed="false">
      <c r="A6" s="2" t="s">
        <v>48</v>
      </c>
      <c r="B6" s="7" t="n">
        <v>626286.64</v>
      </c>
      <c r="C6" s="2"/>
    </row>
    <row r="7" customFormat="false" ht="30" hidden="false" customHeight="true" outlineLevel="0" collapsed="false">
      <c r="A7" s="2" t="s">
        <v>49</v>
      </c>
      <c r="B7" s="7" t="n">
        <v>-418990</v>
      </c>
      <c r="C7" s="2" t="s">
        <v>50</v>
      </c>
    </row>
    <row r="8" customFormat="false" ht="30" hidden="false" customHeight="true" outlineLevel="0" collapsed="false">
      <c r="A8" s="2" t="s">
        <v>51</v>
      </c>
      <c r="B8" s="7" t="n">
        <v>-139613</v>
      </c>
      <c r="C8" s="2" t="s">
        <v>52</v>
      </c>
    </row>
    <row r="9" customFormat="false" ht="30" hidden="false" customHeight="true" outlineLevel="0" collapsed="false">
      <c r="A9" s="2" t="s">
        <v>53</v>
      </c>
      <c r="B9" s="7" t="n">
        <v>67683.64</v>
      </c>
      <c r="C9" s="2"/>
    </row>
    <row r="10" customFormat="false" ht="30" hidden="false" customHeight="true" outlineLevel="0" collapsed="false">
      <c r="A10" s="2" t="s">
        <v>54</v>
      </c>
      <c r="B10" s="7" t="n">
        <v>-57600</v>
      </c>
      <c r="C10" s="2" t="s">
        <v>55</v>
      </c>
    </row>
    <row r="11" customFormat="false" ht="30" hidden="false" customHeight="true" outlineLevel="0" collapsed="false">
      <c r="A11" s="2" t="s">
        <v>56</v>
      </c>
      <c r="B11" s="7" t="n">
        <v>10083.64</v>
      </c>
      <c r="C11" s="2" t="s">
        <v>57</v>
      </c>
    </row>
    <row r="13" customFormat="false" ht="60" hidden="false" customHeight="true" outlineLevel="0" collapsed="false">
      <c r="A13" s="2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20"/>
    <col collapsed="false" customWidth="true" hidden="false" outlineLevel="0" max="4" min="2" style="7" width="44"/>
  </cols>
  <sheetData>
    <row r="1" customFormat="false" ht="17.25" hidden="false" customHeight="true" outlineLevel="0" collapsed="false">
      <c r="A1" s="8" t="s">
        <v>59</v>
      </c>
    </row>
    <row r="3" customFormat="false" ht="15" hidden="false" customHeight="true" outlineLevel="0" collapsed="false">
      <c r="A3" s="9"/>
      <c r="B3" s="9" t="s">
        <v>60</v>
      </c>
      <c r="C3" s="9" t="s">
        <v>61</v>
      </c>
      <c r="D3" s="9" t="s">
        <v>62</v>
      </c>
    </row>
    <row r="4" customFormat="false" ht="57.75" hidden="false" customHeight="true" outlineLevel="0" collapsed="false">
      <c r="A4" s="2" t="s">
        <v>63</v>
      </c>
      <c r="B4" s="2" t="s">
        <v>64</v>
      </c>
      <c r="C4" s="2" t="s">
        <v>65</v>
      </c>
      <c r="D4" s="2" t="s">
        <v>66</v>
      </c>
    </row>
    <row r="5" customFormat="false" ht="57.75" hidden="false" customHeight="true" outlineLevel="0" collapsed="false">
      <c r="A5" s="2" t="s">
        <v>67</v>
      </c>
      <c r="B5" s="2" t="s">
        <v>68</v>
      </c>
      <c r="C5" s="2" t="s">
        <v>69</v>
      </c>
      <c r="D5" s="2" t="s">
        <v>70</v>
      </c>
    </row>
    <row r="6" customFormat="false" ht="57.75" hidden="false" customHeight="true" outlineLevel="0" collapsed="false">
      <c r="A6" s="2" t="s">
        <v>71</v>
      </c>
      <c r="B6" s="2" t="s">
        <v>72</v>
      </c>
      <c r="C6" s="2" t="s">
        <v>73</v>
      </c>
      <c r="D6" s="2" t="s">
        <v>74</v>
      </c>
    </row>
    <row r="7" customFormat="false" ht="57.75" hidden="false" customHeight="true" outlineLevel="0" collapsed="false">
      <c r="A7" s="2" t="s">
        <v>75</v>
      </c>
      <c r="B7" s="2" t="s">
        <v>76</v>
      </c>
      <c r="C7" s="2" t="s">
        <v>77</v>
      </c>
      <c r="D7" s="2" t="s">
        <v>78</v>
      </c>
    </row>
    <row r="8" customFormat="false" ht="57.75" hidden="false" customHeight="true" outlineLevel="0" collapsed="false">
      <c r="A8" s="2" t="s">
        <v>79</v>
      </c>
      <c r="B8" s="2" t="s">
        <v>80</v>
      </c>
      <c r="C8" s="2" t="s">
        <v>81</v>
      </c>
      <c r="D8" s="2" t="s">
        <v>82</v>
      </c>
    </row>
    <row r="9" customFormat="false" ht="57.75" hidden="false" customHeight="true" outlineLevel="0" collapsed="false">
      <c r="A9" s="2" t="s">
        <v>83</v>
      </c>
      <c r="B9" s="2" t="s">
        <v>80</v>
      </c>
      <c r="C9" s="2" t="s">
        <v>84</v>
      </c>
      <c r="D9" s="2" t="s">
        <v>80</v>
      </c>
    </row>
    <row r="10" customFormat="false" ht="57.75" hidden="false" customHeight="true" outlineLevel="0" collapsed="false">
      <c r="A10" s="2" t="s">
        <v>85</v>
      </c>
      <c r="B10" s="2" t="s">
        <v>86</v>
      </c>
      <c r="C10" s="2" t="s">
        <v>87</v>
      </c>
      <c r="D10" s="2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62"/>
    <col collapsed="false" customWidth="true" hidden="false" outlineLevel="0" max="4" min="2" style="7" width="22"/>
  </cols>
  <sheetData>
    <row r="1" customFormat="false" ht="17.25" hidden="false" customHeight="true" outlineLevel="0" collapsed="false">
      <c r="A1" s="8" t="s">
        <v>88</v>
      </c>
    </row>
    <row r="3" customFormat="false" ht="15" hidden="false" customHeight="true" outlineLevel="0" collapsed="false">
      <c r="A3" s="2" t="s">
        <v>89</v>
      </c>
      <c r="B3" s="10" t="n">
        <v>3500</v>
      </c>
    </row>
    <row r="4" customFormat="false" ht="15" hidden="false" customHeight="true" outlineLevel="0" collapsed="false">
      <c r="A4" s="2" t="s">
        <v>90</v>
      </c>
      <c r="B4" s="10" t="n">
        <v>10915</v>
      </c>
    </row>
    <row r="5" customFormat="false" ht="27.75" hidden="false" customHeight="true" outlineLevel="0" collapsed="false">
      <c r="A5" s="2" t="s">
        <v>91</v>
      </c>
      <c r="B5" s="10" t="n">
        <v>0.135</v>
      </c>
    </row>
    <row r="6" customFormat="false" ht="27.75" hidden="false" customHeight="true" outlineLevel="0" collapsed="false">
      <c r="A6" s="2" t="s">
        <v>92</v>
      </c>
      <c r="B6" s="10" t="n">
        <v>1200</v>
      </c>
    </row>
    <row r="7" customFormat="false" ht="27.75" hidden="false" customHeight="true" outlineLevel="0" collapsed="false">
      <c r="A7" s="2" t="s">
        <v>93</v>
      </c>
      <c r="B7" s="10" t="n">
        <v>30000</v>
      </c>
    </row>
    <row r="8" customFormat="false" ht="15" hidden="false" customHeight="true" outlineLevel="0" collapsed="false">
      <c r="A8" s="2" t="s">
        <v>94</v>
      </c>
      <c r="B8" s="10" t="n">
        <v>30</v>
      </c>
    </row>
    <row r="9" customFormat="false" ht="27.75" hidden="false" customHeight="true" outlineLevel="0" collapsed="false">
      <c r="A9" s="2" t="s">
        <v>95</v>
      </c>
      <c r="B9" s="10" t="n">
        <v>1500</v>
      </c>
    </row>
    <row r="10" customFormat="false" ht="15" hidden="false" customHeight="true" outlineLevel="0" collapsed="false">
      <c r="A10" s="2" t="s">
        <v>96</v>
      </c>
      <c r="B10" s="10" t="n">
        <v>2018</v>
      </c>
    </row>
    <row r="11" customFormat="false" ht="15" hidden="false" customHeight="true" outlineLevel="0" collapsed="false">
      <c r="A11" s="2" t="s">
        <v>97</v>
      </c>
      <c r="B11" s="10" t="n">
        <v>1235</v>
      </c>
    </row>
    <row r="12" customFormat="false" ht="15" hidden="false" customHeight="true" outlineLevel="0" collapsed="false">
      <c r="A12" s="2" t="s">
        <v>98</v>
      </c>
      <c r="B12" s="10" t="n">
        <v>23</v>
      </c>
    </row>
    <row r="14" customFormat="false" ht="15" hidden="false" customHeight="true" outlineLevel="0" collapsed="false">
      <c r="A14" s="9" t="s">
        <v>99</v>
      </c>
    </row>
    <row r="15" customFormat="false" ht="15" hidden="false" customHeight="true" outlineLevel="0" collapsed="false">
      <c r="A15" s="9" t="s">
        <v>100</v>
      </c>
      <c r="B15" s="9" t="s">
        <v>101</v>
      </c>
      <c r="C15" s="9" t="s">
        <v>102</v>
      </c>
      <c r="D15" s="9" t="s">
        <v>103</v>
      </c>
    </row>
    <row r="16" customFormat="false" ht="15" hidden="false" customHeight="true" outlineLevel="0" collapsed="false">
      <c r="A16" s="7" t="s">
        <v>104</v>
      </c>
      <c r="B16" s="7" t="n">
        <f aca="false">B3</f>
        <v>3500</v>
      </c>
      <c r="C16" s="7" t="n">
        <f aca="false">B3</f>
        <v>3500</v>
      </c>
      <c r="D16" s="7" t="n">
        <f aca="false">B3</f>
        <v>3500</v>
      </c>
    </row>
    <row r="17" customFormat="false" ht="15" hidden="false" customHeight="true" outlineLevel="0" collapsed="false">
      <c r="A17" s="7" t="s">
        <v>105</v>
      </c>
      <c r="B17" s="7" t="n">
        <f aca="false">B4*B5</f>
        <v>1473.525</v>
      </c>
      <c r="C17" s="7" t="n">
        <f aca="false">B4*B5</f>
        <v>1473.525</v>
      </c>
      <c r="D17" s="7" t="n">
        <f aca="false">B4*B5</f>
        <v>1473.525</v>
      </c>
    </row>
    <row r="18" customFormat="false" ht="15" hidden="false" customHeight="true" outlineLevel="0" collapsed="false">
      <c r="A18" s="7" t="s">
        <v>106</v>
      </c>
      <c r="B18" s="7" t="n">
        <f aca="false">B7/B8</f>
        <v>1000</v>
      </c>
      <c r="C18" s="7" t="n">
        <f aca="false">B7/B8</f>
        <v>1000</v>
      </c>
      <c r="D18" s="7" t="n">
        <v>0</v>
      </c>
    </row>
    <row r="19" customFormat="false" ht="15" hidden="false" customHeight="true" outlineLevel="0" collapsed="false">
      <c r="A19" s="11" t="s">
        <v>107</v>
      </c>
      <c r="B19" s="11" t="n">
        <f aca="false">SUM(B16:B18)</f>
        <v>5973.525</v>
      </c>
      <c r="C19" s="11" t="n">
        <f aca="false">SUM(C16:C18)</f>
        <v>5973.525</v>
      </c>
      <c r="D19" s="11" t="n">
        <f aca="false">SUM(D16:D18)</f>
        <v>4973.525</v>
      </c>
    </row>
    <row r="20" customFormat="false" ht="15" hidden="false" customHeight="true" outlineLevel="0" collapsed="false">
      <c r="A20" s="7" t="s">
        <v>108</v>
      </c>
      <c r="B20" s="7" t="n">
        <f aca="false">B10</f>
        <v>2018</v>
      </c>
      <c r="C20" s="7" t="n">
        <f aca="false">B10</f>
        <v>2018</v>
      </c>
      <c r="D20" s="7" t="n">
        <f aca="false">B10</f>
        <v>2018</v>
      </c>
    </row>
    <row r="21" customFormat="false" ht="15" hidden="false" customHeight="true" outlineLevel="0" collapsed="false">
      <c r="A21" s="7" t="s">
        <v>109</v>
      </c>
      <c r="B21" s="7" t="n">
        <f aca="false">B11</f>
        <v>1235</v>
      </c>
      <c r="C21" s="7" t="n">
        <v>0</v>
      </c>
      <c r="D21" s="7" t="n">
        <v>0</v>
      </c>
    </row>
    <row r="22" customFormat="false" ht="15" hidden="false" customHeight="true" outlineLevel="0" collapsed="false">
      <c r="A22" s="7" t="s">
        <v>110</v>
      </c>
      <c r="B22" s="7" t="n">
        <f aca="false">B9*1.1</f>
        <v>1650</v>
      </c>
      <c r="C22" s="7" t="n">
        <f aca="false">B9*1.1</f>
        <v>1650</v>
      </c>
      <c r="D22" s="7" t="n">
        <f aca="false">B9*1.1</f>
        <v>1650</v>
      </c>
    </row>
    <row r="23" customFormat="false" ht="15" hidden="false" customHeight="true" outlineLevel="0" collapsed="false">
      <c r="A23" s="7" t="s">
        <v>111</v>
      </c>
      <c r="B23" s="7" t="n">
        <f aca="false">B6</f>
        <v>1200</v>
      </c>
      <c r="C23" s="7" t="n">
        <f aca="false">B6</f>
        <v>1200</v>
      </c>
      <c r="D23" s="7" t="n">
        <f aca="false">B6</f>
        <v>1200</v>
      </c>
    </row>
    <row r="24" customFormat="false" ht="15" hidden="false" customHeight="true" outlineLevel="0" collapsed="false">
      <c r="A24" s="11" t="s">
        <v>112</v>
      </c>
      <c r="B24" s="11" t="n">
        <f aca="false">SUM(B20:B23)</f>
        <v>6103</v>
      </c>
      <c r="C24" s="11" t="n">
        <f aca="false">SUM(C20:C23)</f>
        <v>4868</v>
      </c>
      <c r="D24" s="11" t="n">
        <f aca="false">SUM(D20:D23)</f>
        <v>4868</v>
      </c>
    </row>
    <row r="25" customFormat="false" ht="15" hidden="false" customHeight="true" outlineLevel="0" collapsed="false">
      <c r="A25" s="11" t="s">
        <v>113</v>
      </c>
      <c r="B25" s="11" t="n">
        <f aca="false">B19-B24</f>
        <v>-129.475</v>
      </c>
      <c r="C25" s="11" t="n">
        <f aca="false">C19-C24</f>
        <v>1105.525</v>
      </c>
      <c r="D25" s="11" t="n">
        <f aca="false">D19-D24</f>
        <v>105.525</v>
      </c>
    </row>
    <row r="26" customFormat="false" ht="15" hidden="false" customHeight="true" outlineLevel="0" collapsed="false">
      <c r="A26" s="7" t="s">
        <v>114</v>
      </c>
      <c r="B26" s="7" t="n">
        <f aca="false">B19/(B10+B11)</f>
        <v>1.83631263449124</v>
      </c>
      <c r="C26" s="7" t="n">
        <f aca="false">C19/(C20+0)</f>
        <v>2.96012140733399</v>
      </c>
      <c r="D26" s="7" t="n">
        <f aca="false">D19/B10</f>
        <v>2.46458126858276</v>
      </c>
    </row>
    <row r="28" customFormat="false" ht="99.75" hidden="false" customHeight="true" outlineLevel="0" collapsed="false">
      <c r="A28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40"/>
    <col collapsed="false" customWidth="true" hidden="false" outlineLevel="0" max="2" min="2" style="7" width="14"/>
    <col collapsed="false" customWidth="true" hidden="false" outlineLevel="0" max="3" min="3" style="7" width="28"/>
    <col collapsed="false" customWidth="true" hidden="false" outlineLevel="0" max="4" min="4" style="7" width="60"/>
  </cols>
  <sheetData>
    <row r="1" customFormat="false" ht="17.25" hidden="false" customHeight="true" outlineLevel="0" collapsed="false">
      <c r="A1" s="8" t="s">
        <v>116</v>
      </c>
    </row>
    <row r="3" customFormat="false" ht="15" hidden="false" customHeight="true" outlineLevel="0" collapsed="false">
      <c r="A3" s="9" t="s">
        <v>42</v>
      </c>
      <c r="B3" s="9" t="s">
        <v>117</v>
      </c>
      <c r="C3" s="9" t="s">
        <v>118</v>
      </c>
      <c r="D3" s="9" t="s">
        <v>119</v>
      </c>
    </row>
    <row r="4" customFormat="false" ht="45.75" hidden="false" customHeight="true" outlineLevel="0" collapsed="false">
      <c r="A4" s="2" t="s">
        <v>120</v>
      </c>
      <c r="B4" s="2" t="n">
        <f aca="false">SGM_Debt_Service_Model!B3</f>
        <v>3500</v>
      </c>
      <c r="C4" s="2" t="s">
        <v>121</v>
      </c>
      <c r="D4" s="2" t="s">
        <v>122</v>
      </c>
    </row>
    <row r="5" customFormat="false" ht="45.75" hidden="false" customHeight="true" outlineLevel="0" collapsed="false">
      <c r="A5" s="2" t="s">
        <v>123</v>
      </c>
      <c r="B5" s="2" t="n">
        <f aca="false">SGM_Debt_Service_Model!B7/SGM_Debt_Service_Model!B8</f>
        <v>1000</v>
      </c>
      <c r="C5" s="2" t="s">
        <v>124</v>
      </c>
      <c r="D5" s="2" t="s">
        <v>125</v>
      </c>
    </row>
    <row r="6" customFormat="false" ht="45.75" hidden="false" customHeight="true" outlineLevel="0" collapsed="false">
      <c r="A6" s="2" t="s">
        <v>126</v>
      </c>
      <c r="B6" s="2" t="s">
        <v>127</v>
      </c>
      <c r="C6" s="2" t="s">
        <v>128</v>
      </c>
      <c r="D6" s="2" t="s">
        <v>129</v>
      </c>
    </row>
    <row r="7" customFormat="false" ht="45.75" hidden="false" customHeight="true" outlineLevel="0" collapsed="false">
      <c r="A7" s="2" t="s">
        <v>130</v>
      </c>
      <c r="B7" s="2" t="n">
        <f aca="false">B4+B5+B6</f>
        <v>5192</v>
      </c>
      <c r="C7" s="2"/>
      <c r="D7" s="2" t="s">
        <v>131</v>
      </c>
    </row>
    <row r="8" customFormat="false" ht="15" hidden="false" customHeight="true" outlineLevel="0" collapsed="false">
      <c r="A8" s="11"/>
    </row>
    <row r="10" customFormat="false" ht="63.75" hidden="false" customHeight="true" outlineLevel="0" collapsed="false">
      <c r="A10" s="2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7" width="110"/>
  </cols>
  <sheetData>
    <row r="1" customFormat="false" ht="17.25" hidden="false" customHeight="true" outlineLevel="0" collapsed="false">
      <c r="A1" s="8" t="s">
        <v>133</v>
      </c>
    </row>
    <row r="3" customFormat="false" ht="15" hidden="false" customHeight="true" outlineLevel="0" collapsed="false">
      <c r="A3" s="11" t="s">
        <v>134</v>
      </c>
    </row>
    <row r="4" customFormat="false" ht="63.75" hidden="false" customHeight="true" outlineLevel="0" collapsed="false">
      <c r="A4" s="2" t="s">
        <v>135</v>
      </c>
    </row>
    <row r="6" customFormat="false" ht="15" hidden="false" customHeight="true" outlineLevel="0" collapsed="false">
      <c r="A6" s="11" t="s">
        <v>136</v>
      </c>
    </row>
    <row r="7" customFormat="false" ht="63.75" hidden="false" customHeight="true" outlineLevel="0" collapsed="false">
      <c r="A7" s="2" t="s">
        <v>137</v>
      </c>
    </row>
    <row r="9" customFormat="false" ht="15" hidden="false" customHeight="true" outlineLevel="0" collapsed="false">
      <c r="A9" s="11" t="s">
        <v>138</v>
      </c>
    </row>
    <row r="10" customFormat="false" ht="63.75" hidden="false" customHeight="true" outlineLevel="0" collapsed="false">
      <c r="A10" s="2" t="s">
        <v>139</v>
      </c>
    </row>
    <row r="12" customFormat="false" ht="15" hidden="false" customHeight="true" outlineLevel="0" collapsed="false">
      <c r="A12" s="11" t="s">
        <v>140</v>
      </c>
    </row>
    <row r="13" customFormat="false" ht="63.75" hidden="false" customHeight="true" outlineLevel="0" collapsed="false">
      <c r="A13" s="2" t="s">
        <v>141</v>
      </c>
    </row>
    <row r="15" customFormat="false" ht="15" hidden="false" customHeight="true" outlineLevel="0" collapsed="false">
      <c r="A15" s="11" t="s">
        <v>142</v>
      </c>
    </row>
    <row r="16" customFormat="false" ht="63.75" hidden="false" customHeight="true" outlineLevel="0" collapsed="false">
      <c r="A16" s="2" t="s">
        <v>143</v>
      </c>
    </row>
    <row r="18" customFormat="false" ht="15" hidden="false" customHeight="true" outlineLevel="0" collapsed="false">
      <c r="A18" s="11" t="s">
        <v>144</v>
      </c>
    </row>
    <row r="19" customFormat="false" ht="63.75" hidden="false" customHeight="true" outlineLevel="0" collapsed="false">
      <c r="A19" s="2" t="s">
        <v>145</v>
      </c>
    </row>
    <row r="21" customFormat="false" ht="15" hidden="false" customHeight="true" outlineLevel="0" collapsed="false">
      <c r="A21" s="11" t="s">
        <v>146</v>
      </c>
    </row>
    <row r="22" customFormat="false" ht="63.75" hidden="false" customHeight="true" outlineLevel="0" collapsed="false">
      <c r="A22" s="2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2026-07-04T00:32:17Z</dcterms:created>
  <dc:creator>openpyxl</dc:creator>
  <dc:description/>
  <dc:language>en-US</dc:language>
  <cp:lastModifiedBy/>
  <dcterms:modified xsi:type="dcterms:W3CDTF">2026-07-04T05:32:58Z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