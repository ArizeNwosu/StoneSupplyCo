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GM_2024_Restatement" sheetId="1" state="visible" r:id="rId3"/>
    <sheet name="Amendment_Model" sheetId="2" state="visible" r:id="rId4"/>
    <sheet name="Tax_Impact_Estimate" sheetId="3" state="visible" r:id="rId5"/>
    <sheet name="Investor_Disclosur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<sst xmlns="http://schemas.openxmlformats.org/spreadsheetml/2006/main" count="46" uniqueCount="46">
  <si>
    <t xml:space="preserve">Social Gear Media LLC — 2024 Revenue Restatement (Cyberbrands excluded; inter-account transfers excluded)</t>
  </si>
  <si>
    <t xml:space="preserve">SCOPE: Social Gear / Splitflask ONLY. Cyberbrands LLC is a separate taxpayer with separate Shopify/Amazon/TikTok stores and its own $139,613 Schedule C — EXCLUDED here entirely. Inter-account transfers between the SGM and Cyberbrands accounts are EXCLUDED as non-revenue. Teslarati/Shaed/Munro ($65,349) are consulting, NOT Splitflask — excluded from SGM Splitflask revenue.</t>
  </si>
  <si>
    <t xml:space="preserve">SGM Splitflask revenue by source (net of platform fees)</t>
  </si>
  <si>
    <t xml:space="preserve">Amount ($)</t>
  </si>
  <si>
    <t xml:space="preserve">Amazon (all marketplaces)</t>
  </si>
  <si>
    <t xml:space="preserve">Shopify — Splitflask store</t>
  </si>
  <si>
    <t xml:space="preserve">TikTok Shop</t>
  </si>
  <si>
    <t xml:space="preserve">ESP Promo (B2B wholesale wires)</t>
  </si>
  <si>
    <t xml:space="preserve">Wholesale/retail check deposits + Frost</t>
  </si>
  <si>
    <t xml:space="preserve">Affirm / Shop Pay</t>
  </si>
  <si>
    <t xml:space="preserve">Knocking Inc. (B2B)</t>
  </si>
  <si>
    <t xml:space="preserve">SATS-Creuers Singapore (B2B)</t>
  </si>
  <si>
    <t xml:space="preserve">Global-E cross-border</t>
  </si>
  <si>
    <t xml:space="preserve">Von Maur (EDI wholesale)</t>
  </si>
  <si>
    <t xml:space="preserve">Other Splitflask (Kuwait, misc)</t>
  </si>
  <si>
    <t xml:space="preserve">UncommonGoods (EDI)</t>
  </si>
  <si>
    <t xml:space="preserve">Walmart Marketplace</t>
  </si>
  <si>
    <t xml:space="preserve">SGM SPLITFLASK REVENUE — NET-OF-FEES BANK FLOOR</t>
  </si>
  <si>
    <t xml:space="preserve">Filed 2024 SGM 1120-S gross receipts</t>
  </si>
  <si>
    <t xml:space="preserve">UNDERREPORTING — net-of-fees floor (provable from bank statements)</t>
  </si>
  <si>
    <t xml:space="preserve">2024 SGM Amendment — Net Floor vs Gross (RECOMMENDED FILING BASIS: GROSS, built up from the provable floor)</t>
  </si>
  <si>
    <t xml:space="preserve">DECISION (advisor): FILE GROSS but BUILD IT FROM THE NET FLOOR + a documented fee add-back, so the amended return shows the correct gross receipts AND every dollar traces to bank records with a fallback. Net-of-fees is the provable floor; gross is the technically-correct taxable figure (fees are deducted as an expense, not netted). Blended fee rate is a CPA INPUT (yellow) — replace with actual Shopify/Amazon/TikTok fee reports. Marketplace revenue is fee-bearing; direct B2B/wholesale is not.</t>
  </si>
  <si>
    <t xml:space="preserve">Marketplace/DTC revenue (fee-bearing): Amazon+Shopify+TikTok+Affirm+Global-E+Walmart</t>
  </si>
  <si>
    <t xml:space="preserve">Direct B2B/wholesale (NO platform fee): ESP+SATS+Knocking+EDI+checks+Kuwait</t>
  </si>
  <si>
    <t xml:space="preserve">Blended marketplace fee rate (CPA INPUT — replace with actuals)</t>
  </si>
  <si>
    <t xml:space="preserve">Grossed-up marketplace revenue = fee-bearing / (1 - rate)</t>
  </si>
  <si>
    <t xml:space="preserve">TOTAL GROSS SGM SPLITFLASK REVENUE (recommended amended figure)</t>
  </si>
  <si>
    <t xml:space="preserve">Filed 2024 SGM 1120-S</t>
  </si>
  <si>
    <t xml:space="preserve">AMENDMENT — additional revenue to report (gross basis)</t>
  </si>
  <si>
    <t xml:space="preserve">  memo: net-of-fees floor amendment (fallback if gross challenged)</t>
  </si>
  <si>
    <t xml:space="preserve">Estimated Tax Impact of SGM 2024 Amendment (ESTIMATE — CPA to finalize)</t>
  </si>
  <si>
    <t xml:space="preserve">S-corp: added revenue flows through the 1120-S to the founder K-1 to the personal 1040. This is an ORDER-OF-MAGNITUDE estimate to size the decision, NOT a tax computation. Actual depends on deductions against the added revenue, COGS already claimed, marginal bracket, CA rates, and whether added COGS/expenses offset the gross-up. If much of the "missing" revenue had corresponding unclaimed COGS, net taxable impact shrinks.</t>
  </si>
  <si>
    <t xml:space="preserve">Additional revenue (gross basis, from Amendment_Model)</t>
  </si>
  <si>
    <t xml:space="preserve">Less: estimated additional COGS/fees deductible against it (CPA INPUT %)</t>
  </si>
  <si>
    <t xml:space="preserve">Estimated additional NET taxable income</t>
  </si>
  <si>
    <t xml:space="preserve">Est. federal marginal rate (CPA INPUT)</t>
  </si>
  <si>
    <t xml:space="preserve">Est. CA marginal rate (CPA INPUT)</t>
  </si>
  <si>
    <t xml:space="preserve">Estimated federal tax</t>
  </si>
  <si>
    <t xml:space="preserve">Estimated CA tax</t>
  </si>
  <si>
    <t xml:space="preserve">Estimated combined tax before P&amp;I</t>
  </si>
  <si>
    <t xml:space="preserve">Est. interest + potential accuracy penalty (CPA — voluntary amendment aids abatement)</t>
  </si>
  <si>
    <t xml:space="preserve">ESTIMATED TOTAL COST OF AMENDMENT</t>
  </si>
  <si>
    <t xml:space="preserve">CONTEXT FOR THE DECISION: even at the high end this cost is a fraction of a $350K raise, and it is dwarfed by the risk of signing SPA tax representations on returns a diligence analyst can prove are understated from the bank statements in your own data room. Voluntary pre-diligence amendment is the strongest posture for penalty abatement and for investor trust.</t>
  </si>
  <si>
    <t xml:space="preserve">Draft Disclosure Language for Investor Diligence Team</t>
  </si>
  <si>
    <t xml:space="preserve">During pre-diligence preparation, the company undertook a line-by-line reconstruction of all 2024 bank deposits across its operating accounts (906 deposits, tied to statements to the penny). This review identified that the 2024 Social Gear Media LLC return understated gross receipts: certain Splitflask wholesale, B2B, and check-based sales that settled in the operating account were not captured in the originally filed figure. The company is filing an amended 2024 Form 1120-S to correct this, increasing reported revenue from $418,990 to approximately $[gross figure], with corresponding cost of goods and expenses. Cyberbrands LLC (a separate business with separate stores and its own return) and inter-account transfers are excluded from this restatement. The complete deposit classification schedule and amended return are available in the data room. All figures tie to the underlying Wells Fargo statements.</t>
  </si>
  <si>
    <t xml:space="preserve">WHY THIS HELPS: it demonstrates financial rigor, surfaces the item on YOUR terms before their analysts find it, and converts a potential "gotcha" into evidence of a careful operator. Deliver alongside the Financial Clarification Memo (2024 revenue figure).</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</si>
</sst>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CC0000"/>
      <name val="Cambria"/>
      <family val="0"/>
      <charset val="1"/>
    </font>
    <font>
      <sz val="11"/>
      <color rgb="FF0000FF"/>
      <name val="Cambria"/>
      <family val="0"/>
      <charset val="1"/>
    </font>
    <font>
      <b val="true"/>
      <sz val="11"/>
      <color rgb="FF1F7A1F"/>
      <name val="Cambria"/>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1F7A1F"/>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s>
  <sheetData>
    <row r="1" customFormat="false" ht="17.35" hidden="false" customHeight="false" outlineLevel="0" collapsed="false">
      <c r="A1" s="1" t="s">
        <v>0</v>
      </c>
    </row>
    <row r="2" customFormat="false" ht="55.5" hidden="false" customHeight="true" outlineLevel="0" collapsed="false">
      <c r="A2" s="2" t="s">
        <v>1</v>
      </c>
    </row>
    <row r="4" customFormat="false" ht="15" hidden="false" customHeight="false" outlineLevel="0" collapsed="false">
      <c r="A4" s="3" t="s">
        <v>2</v>
      </c>
      <c r="B4" s="3" t="s">
        <v>3</v>
      </c>
    </row>
    <row r="5" customFormat="false" ht="15" hidden="false" customHeight="false" outlineLevel="0" collapsed="false">
      <c r="A5" s="0" t="s">
        <v>4</v>
      </c>
      <c r="B5" s="0" t="n">
        <v>223514.28</v>
      </c>
    </row>
    <row r="6" customFormat="false" ht="15" hidden="false" customHeight="false" outlineLevel="0" collapsed="false">
      <c r="A6" s="0" t="s">
        <v>5</v>
      </c>
      <c r="B6" s="0" t="n">
        <v>137756.77</v>
      </c>
    </row>
    <row r="7" customFormat="false" ht="15" hidden="false" customHeight="false" outlineLevel="0" collapsed="false">
      <c r="A7" s="0" t="s">
        <v>6</v>
      </c>
      <c r="B7" s="0" t="n">
        <v>62240.64</v>
      </c>
    </row>
    <row r="8" customFormat="false" ht="15" hidden="false" customHeight="false" outlineLevel="0" collapsed="false">
      <c r="A8" s="0" t="s">
        <v>7</v>
      </c>
      <c r="B8" s="0" t="n">
        <v>57600</v>
      </c>
    </row>
    <row r="9" customFormat="false" ht="15" hidden="false" customHeight="false" outlineLevel="0" collapsed="false">
      <c r="A9" s="0" t="s">
        <v>8</v>
      </c>
      <c r="B9" s="0" t="n">
        <v>21370.41</v>
      </c>
    </row>
    <row r="10" customFormat="false" ht="15" hidden="false" customHeight="false" outlineLevel="0" collapsed="false">
      <c r="A10" s="0" t="s">
        <v>9</v>
      </c>
      <c r="B10" s="0" t="n">
        <v>15261.28</v>
      </c>
    </row>
    <row r="11" customFormat="false" ht="15" hidden="false" customHeight="false" outlineLevel="0" collapsed="false">
      <c r="A11" s="0" t="s">
        <v>10</v>
      </c>
      <c r="B11" s="0" t="n">
        <v>11251.45</v>
      </c>
    </row>
    <row r="12" customFormat="false" ht="15" hidden="false" customHeight="false" outlineLevel="0" collapsed="false">
      <c r="A12" s="0" t="s">
        <v>11</v>
      </c>
      <c r="B12" s="0" t="n">
        <v>10725</v>
      </c>
    </row>
    <row r="13" customFormat="false" ht="15" hidden="false" customHeight="false" outlineLevel="0" collapsed="false">
      <c r="A13" s="0" t="s">
        <v>12</v>
      </c>
      <c r="B13" s="0" t="n">
        <v>8557.83</v>
      </c>
    </row>
    <row r="14" customFormat="false" ht="15" hidden="false" customHeight="false" outlineLevel="0" collapsed="false">
      <c r="A14" s="0" t="s">
        <v>13</v>
      </c>
      <c r="B14" s="0" t="n">
        <v>7200</v>
      </c>
    </row>
    <row r="15" customFormat="false" ht="15" hidden="false" customHeight="false" outlineLevel="0" collapsed="false">
      <c r="A15" s="0" t="s">
        <v>14</v>
      </c>
      <c r="B15" s="0" t="n">
        <v>2564.2</v>
      </c>
    </row>
    <row r="16" customFormat="false" ht="15" hidden="false" customHeight="false" outlineLevel="0" collapsed="false">
      <c r="A16" s="0" t="s">
        <v>15</v>
      </c>
      <c r="B16" s="0" t="n">
        <v>1905.12</v>
      </c>
    </row>
    <row r="17" customFormat="false" ht="15" hidden="false" customHeight="false" outlineLevel="0" collapsed="false">
      <c r="A17" s="0" t="s">
        <v>16</v>
      </c>
      <c r="B17" s="0" t="n">
        <v>990.98</v>
      </c>
    </row>
    <row r="18" customFormat="false" ht="15" hidden="false" customHeight="false" outlineLevel="0" collapsed="false">
      <c r="A18" s="4" t="s">
        <v>17</v>
      </c>
      <c r="B18" s="5" t="n">
        <f aca="false">SUM(B5:B17)</f>
        <v>560937.96</v>
      </c>
    </row>
    <row r="19" customFormat="false" ht="15" hidden="false" customHeight="false" outlineLevel="0" collapsed="false">
      <c r="A19" s="0" t="s">
        <v>18</v>
      </c>
      <c r="B19" s="0" t="n">
        <v>418990</v>
      </c>
    </row>
    <row r="20" customFormat="false" ht="15" hidden="false" customHeight="false" outlineLevel="0" collapsed="false">
      <c r="A20" s="6" t="s">
        <v>19</v>
      </c>
      <c r="B20" s="6" t="n">
        <f aca="false">B18-B19</f>
        <v>141947.96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s>
  <sheetData>
    <row r="1" customFormat="false" ht="17.35" hidden="false" customHeight="false" outlineLevel="0" collapsed="false">
      <c r="A1" s="1" t="s">
        <v>20</v>
      </c>
    </row>
    <row r="2" customFormat="false" ht="72" hidden="false" customHeight="true" outlineLevel="0" collapsed="false">
      <c r="A2" s="2" t="s">
        <v>21</v>
      </c>
    </row>
    <row r="4" customFormat="false" ht="28.35" hidden="false" customHeight="false" outlineLevel="0" collapsed="false">
      <c r="A4" s="2" t="s">
        <v>22</v>
      </c>
      <c r="B4" s="0" t="n">
        <v>448321.78</v>
      </c>
    </row>
    <row r="5" customFormat="false" ht="15" hidden="false" customHeight="false" outlineLevel="0" collapsed="false">
      <c r="A5" s="2" t="s">
        <v>23</v>
      </c>
      <c r="B5" s="0" t="n">
        <v>112616.18</v>
      </c>
    </row>
    <row r="6" customFormat="false" ht="15" hidden="false" customHeight="false" outlineLevel="0" collapsed="false">
      <c r="A6" s="2" t="s">
        <v>24</v>
      </c>
      <c r="B6" s="7" t="n">
        <v>0.15</v>
      </c>
    </row>
    <row r="7" customFormat="false" ht="15" hidden="false" customHeight="false" outlineLevel="0" collapsed="false">
      <c r="A7" s="2" t="s">
        <v>25</v>
      </c>
      <c r="B7" s="8" t="e">
        <f aca="false">B5/(1-B7)</f>
        <v>#VALUE!</v>
      </c>
    </row>
    <row r="8" customFormat="false" ht="15" hidden="false" customHeight="false" outlineLevel="0" collapsed="false">
      <c r="A8" s="2" t="s">
        <v>26</v>
      </c>
      <c r="B8" s="9" t="e">
        <f aca="false">B8+B6</f>
        <v>#VALUE!</v>
      </c>
    </row>
    <row r="9" customFormat="false" ht="15" hidden="false" customHeight="false" outlineLevel="0" collapsed="false">
      <c r="A9" s="2" t="s">
        <v>27</v>
      </c>
      <c r="B9" s="0" t="n">
        <v>418990</v>
      </c>
    </row>
    <row r="10" customFormat="false" ht="15" hidden="false" customHeight="false" outlineLevel="0" collapsed="false">
      <c r="A10" s="2" t="s">
        <v>28</v>
      </c>
      <c r="B10" s="6" t="e">
        <f aca="false">B9-B10</f>
        <v>#VALUE!</v>
      </c>
    </row>
    <row r="11" customFormat="false" ht="15" hidden="false" customHeight="false" outlineLevel="0" collapsed="false">
      <c r="A11" s="2" t="s">
        <v>29</v>
      </c>
      <c r="B11" s="0" t="n">
        <v>141947.96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6"/>
  </cols>
  <sheetData>
    <row r="1" customFormat="false" ht="17.35" hidden="false" customHeight="false" outlineLevel="0" collapsed="false">
      <c r="A1" s="1" t="s">
        <v>30</v>
      </c>
    </row>
    <row r="2" customFormat="false" ht="72" hidden="false" customHeight="true" outlineLevel="0" collapsed="false">
      <c r="A2" s="2" t="s">
        <v>31</v>
      </c>
    </row>
    <row r="4" customFormat="false" ht="15" hidden="false" customHeight="false" outlineLevel="0" collapsed="false">
      <c r="A4" s="2" t="s">
        <v>32</v>
      </c>
      <c r="B4" s="8" t="n">
        <f aca="false">Amendment_Model!B11</f>
        <v>141947.96</v>
      </c>
    </row>
    <row r="5" customFormat="false" ht="15" hidden="false" customHeight="false" outlineLevel="0" collapsed="false">
      <c r="A5" s="2" t="s">
        <v>33</v>
      </c>
      <c r="B5" s="7" t="n">
        <v>0.55</v>
      </c>
    </row>
    <row r="6" customFormat="false" ht="15" hidden="false" customHeight="false" outlineLevel="0" collapsed="false">
      <c r="A6" s="2" t="s">
        <v>34</v>
      </c>
      <c r="B6" s="8" t="n">
        <f aca="false">B4*(1-B5)</f>
        <v>63876.582</v>
      </c>
    </row>
    <row r="7" customFormat="false" ht="15" hidden="false" customHeight="false" outlineLevel="0" collapsed="false">
      <c r="A7" s="2" t="s">
        <v>35</v>
      </c>
      <c r="B7" s="7" t="n">
        <v>0.24</v>
      </c>
    </row>
    <row r="8" customFormat="false" ht="15" hidden="false" customHeight="false" outlineLevel="0" collapsed="false">
      <c r="A8" s="2" t="s">
        <v>36</v>
      </c>
      <c r="B8" s="7" t="n">
        <v>0.093</v>
      </c>
    </row>
    <row r="9" customFormat="false" ht="15" hidden="false" customHeight="false" outlineLevel="0" collapsed="false">
      <c r="A9" s="2" t="s">
        <v>37</v>
      </c>
      <c r="B9" s="8" t="n">
        <f aca="false">B6*B7</f>
        <v>15330.37968</v>
      </c>
    </row>
    <row r="10" customFormat="false" ht="15" hidden="false" customHeight="false" outlineLevel="0" collapsed="false">
      <c r="A10" s="2" t="s">
        <v>38</v>
      </c>
      <c r="B10" s="8" t="n">
        <f aca="false">B6*B8</f>
        <v>5940.522126</v>
      </c>
    </row>
    <row r="11" customFormat="false" ht="15" hidden="false" customHeight="false" outlineLevel="0" collapsed="false">
      <c r="A11" s="2" t="s">
        <v>39</v>
      </c>
      <c r="B11" s="8" t="n">
        <f aca="false">B9+B10</f>
        <v>21270.901806</v>
      </c>
    </row>
    <row r="12" customFormat="false" ht="28.35" hidden="false" customHeight="false" outlineLevel="0" collapsed="false">
      <c r="A12" s="2" t="s">
        <v>40</v>
      </c>
      <c r="B12" s="8" t="n">
        <f aca="false">B11*0.15</f>
        <v>3190.6352709</v>
      </c>
    </row>
    <row r="13" customFormat="false" ht="15" hidden="false" customHeight="false" outlineLevel="0" collapsed="false">
      <c r="A13" s="2" t="s">
        <v>41</v>
      </c>
      <c r="B13" s="6" t="n">
        <f aca="false">B11+B12</f>
        <v>24461.5370769</v>
      </c>
    </row>
    <row r="15" customFormat="false" ht="63.75" hidden="false" customHeight="true" outlineLevel="0" collapsed="false">
      <c r="A15" s="2"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43</v>
      </c>
    </row>
    <row r="3" customFormat="false" ht="180" hidden="false" customHeight="true" outlineLevel="0" collapsed="false">
      <c r="A3" s="2" t="s">
        <v>44</v>
      </c>
    </row>
    <row r="5" customFormat="false" ht="48" hidden="false" customHeight="true" outlineLevel="0" collapsed="false">
      <c r="A5"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2026-07-04T07:13:17Z</dcterms:created>
  <dc:creator>openpyxl</dc:creator>
  <dc:description/>
  <dc:language>en-US</dc:language>
  <cp:lastModifiedBy/>
  <dcterms:modified xsi:type="dcterms:W3CDTF">2026-07-04T07:13:17Z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