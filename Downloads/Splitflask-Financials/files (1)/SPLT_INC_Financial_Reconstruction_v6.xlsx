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Key_Findings" sheetId="1" state="visible" r:id="rId3"/>
    <sheet name="Intercompany_RelatedParty" sheetId="2" state="visible" r:id="rId4"/>
    <sheet name="OnAir_Claims_Reconciliation" sheetId="3" state="visible" r:id="rId5"/>
    <sheet name="PL_Annual_TaxBasis" sheetId="4" state="visible" r:id="rId6"/>
    <sheet name="PL_Monthly_2024_SocialGear" sheetId="5" state="visible" r:id="rId7"/>
    <sheet name="PL_Monthly_2025_SPLT" sheetId="6" state="visible" r:id="rId8"/>
    <sheet name="SUPPL_SocialGear_2025_PL" sheetId="7" state="visible" r:id="rId9"/>
    <sheet name="CF_2023_SocialGear" sheetId="8" state="visible" r:id="rId10"/>
    <sheet name="CF_Monthly_2024_SocialGear" sheetId="9" state="visible" r:id="rId11"/>
    <sheet name="CF_Monthly_2025_SPLT" sheetId="10" state="visible" r:id="rId12"/>
    <sheet name="CF_Monthly_2026YTD_SPLT" sheetId="11" state="visible" r:id="rId13"/>
    <sheet name="Balance_Sheet_YearEnd" sheetId="12" state="visible" r:id="rId14"/>
    <sheet name="GL_TB_Reconstructed" sheetId="13" state="visible" r:id="rId15"/>
    <sheet name="AR_AP_Aging" sheetId="14" state="visible" r:id="rId16"/>
    <sheet name="Gross_Margin" sheetId="15" state="visible" r:id="rId17"/>
    <sheet name="Forecast_24_36mo" sheetId="16" state="visible" r:id="rId18"/>
    <sheet name="Debt_Schedule" sheetId="17" state="visible" r:id="rId19"/>
    <sheet name="Credit_Cards" sheetId="18" state="visible" r:id="rId20"/>
    <sheet name="Bank_Stmt_Index" sheetId="19" state="visible" r:id="rId21"/>
    <sheet name="Revenue_by_Channel" sheetId="20" state="visible" r:id="rId2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<sst xmlns="http://schemas.openxmlformats.org/spreadsheetml/2006/main" count="683" uniqueCount="474">
  <si>
    <t xml:space="preserve">SPLT INC Due Diligence — Key Findings &amp; Methodology</t>
  </si>
  <si>
    <t xml:space="preserve">Founder loan — source of truth is the signed loan agreement</t>
  </si>
  <si>
    <t xml:space="preserve">The signed Revolving Loan Agreement (effective 6/30/2026) is the authoritative source for the SPLT INC founder loan balance. Per Exhibit A of that agreement: total advances $66,587, total repayments $52,708, net balance $13,879 as of 6/30/2026. The 12/31/2025 balance per the loan ledger was $25,287 (before 2026 repayments). Any prior investor package figures showing different amounts were errors and have been removed from this workbook. This workbook uses the loan agreement as the sole source of truth.</t>
  </si>
  <si>
    <t xml:space="preserve">No general ledger / accounting system exists</t>
  </si>
  <si>
    <t xml:space="preserve">All figures in this workbook are reconstructed from (a) bank statements and (b) annually-filed tax P&amp;Ls. There is no monthly-books source. Monthly P&amp;L figures here are the real annual tax totals allocated across months using actual Amazon channel sales as a proxy distribution key, and are labeled 'reconstructed' throughout. This is a legitimate methodology for due diligence but is not equivalent to system-generated monthly financials.</t>
  </si>
  <si>
    <t xml:space="preserve">Social Gear Media LLC lost money in 2025</t>
  </si>
  <si>
    <t xml:space="preserve">Per the as-filed tax P&amp;L, Social Gear Media LLC (related entity, common ownership, operates Walmart.com/Macys.com channels) had a net loss of -$6,899.42 on $130,976.23 revenue in 2025. SPLT INC is contractually not responsible for Social Gear's liabilities per the loan agreement and investor package disclosures, but the entities share intercompany transfers, a warehouse, and an owner - this is the kind of related-party fact pattern a lender will ask about directly.</t>
  </si>
  <si>
    <t xml:space="preserve">Entity transition timing</t>
  </si>
  <si>
    <t xml:space="preserve">SPLT INC's own Wells Fargo account (...0423) account ...0423 was opened January 28, 2025. First statement covers 1/28-2/28/25 (the 'February 2025' statement already on file). There is NO missing January 2025 statement — the account did not exist until 1/28/25. Gap confirmed closed.. The Revolving Loan Agreement references an 'Original Loan' dated March 6, 2025. 2024 and earlier activity runs entirely through Social Gear Media LLC (...8625). Treat 2024 financials as Social Gear Media LLC only; 2025 is a split year.</t>
  </si>
  <si>
    <t xml:space="preserve">2026 cash position is tight</t>
  </si>
  <si>
    <t xml:space="preserve">SPLT INC's bank-confirmed cash balance was $9,850.39 at 12/31/2025, dropping to as low as $91.04 (May 2025) and recovering only modestly through 2026. This is consistent with the burn/runway concern flagged earlier.</t>
  </si>
  <si>
    <t xml:space="preserve">Intercompany / personal transactions in bank feed</t>
  </si>
  <si>
    <t xml:space="preserve">Per your direction, P&amp;L totals in this workbook are anchored to the as-filed tax P&amp;L (which already nets out personal/intercompany items per your accountant's categorization), not the raw bank deposit/withdrawal totals, which run far higher due to inter-account transfers, loans, and personal spending mixed into the same accounts.</t>
  </si>
  <si>
    <t xml:space="preserve">STRUCTURAL CLARIFICATION: Social Gear Media LLC role</t>
  </si>
  <si>
    <t xml:space="preserve">Social Gear Media LLC is a single-member LLC (sole member: Arize Nwosu). It functions as a management/contractor entity servicing SPLT INC, not an arms-length third party. Rent charges, management fees, and intercompany transfers in the bank feed are effectively contractor fees from SPLT INC to Social Gear LLC — Riz compensating himself for management services through the LLC structure. This is a materially cleaner story than 'undisclosed related-party transfers.' However, it needs to be papered: a formal Contractor Services Agreement between Social Gear LLC and SPLT INC specifying scope, rate, and term is required before diligence — without it, a lender or auditor will still flag these as undocumented related-party payments. The 2025 Social Gear net loss (-$6,899) also reframes in this light: it means the management entity ran a slight operating loss, not that a competing business is losing money — context that changes how a reviewer reads the combined picture.</t>
  </si>
  <si>
    <t xml:space="preserve">2025 intercompany transfers QUANTIFIED (7/2/26 statement review)</t>
  </si>
  <si>
    <t xml:space="preserve">All eleven SPLT INC 2025 statements read line-by-line. Direct SPLT-&gt;Social Gear transfers total $1,600 for the entire year ($1,300 on 7/9/25 + $300 on 11/10/25, both memo "Balance"). The draft retroactive contractor agreement at $3,500/mo + 10% contradicts the bank feed and the filed tax returns and should NOT be signed as drafted. Replace with: (a) 2025 Intercompany Settlement Memo matching actuals, (b) forward-only Contractor Services Agreement effective 7/1/26. See Intercompany_RelatedParty tab.</t>
  </si>
  <si>
    <t xml:space="preserve">Chukwuezugo $3,266.67 wire (4/2/25) RECLASSIFIED</t>
  </si>
  <si>
    <t xml:space="preserve">Per management: this incoming wire to SPLT INC was a purchase of SPLT product/services — related-party REVENUE, not a loan. The family loan itself remains a Social Gear Media LLC liability only ($4,000 outstanding). ACTIONS: (1) put an invoice/order record on file for the $3,266.67 sale — a related-party wire with no invoice will be challenged; (2) confirm with the accountant that it is inside the filed $369,980.87 revenue; (3) disclose as a related-party sale in the package.</t>
  </si>
  <si>
    <t xml:space="preserve">Commingling items to clean before submission</t>
  </si>
  <si>
    <t xml:space="preserve">Found in statement review: (1) IRS payment for Social Gear Media ($245, 12/18/25) debited from the SPLT account; (2) Shopify payout payor name switches to "Social Gear Media LLC" from 11/20/25 while funds land in SPLT — align the Shopify store legal entity to SPLT INC; (3) Tesla Finance/Insurance and personal card spend run through the SPLT account — confirm the Revolving Loan Agreement Exhibit A ledger captures these as officer advances; (4) recurring Chase credit-card autopay attempts RETURNED UNPAID each month Aug-Dec 2025 ($5.9K-$12.5K) — visible to any lender reading statements; prepare a one-line explanation proactively.</t>
  </si>
  <si>
    <t xml:space="preserve">Chase card documented; Cyberbrands LLC surfaced as third related entity (7/2/26)</t>
  </si>
  <si>
    <t xml:space="preserve">Chase Sapphire Reserve stmt 6/8/26: $22,055.63 balance on $22,500 line (98% utilized), 27.74% APR, $1,500/mo fixed autopay, min $764 due 7/5/26, 2026 YTD interest $2,905.84 + $550 fees, May-26 payment returned and repaid 6/5. Amex balance still unknown — balance sheet card liability is Chase-only. Cyberbrands LLC (common owner) holds: the Kickstarter campaign account (~$54.4K routed into SPLT), the warehouse master lease ($2,500/mo — SPLT pays landlord directly), and the Santander vehicle lease (SPLT primary user/payer). REQUIRED PAPER: (1) Cyberbrands-&gt;SPLT sublease authorizing direct landlord payment; (2) Vehicle Use &amp; Reimbursement Agreement; (3) Kickstarter Proceeds Assignment memo. SPLT confirmed C corp — management-fee structure to founder LLC is standard if documented and reasonable (IRC §162).</t>
  </si>
  <si>
    <t xml:space="preserve">Amex documented — total card debt doubles to $47,383.40 (7/2/26)</t>
  </si>
  <si>
    <t xml:space="preserve">Amex Platinum stmt 6/19/26: $25,327.77 balance on a legacy 9.99% Pay Over Time plan, $1,235/mo, ~23 months to payoff per Amex disclosure, Combined with Chase, total card debt is $47,383.40 vs the $22,060 previously carried — balance sheet and TB updated for 5/31/26; 12/31/25 remains understated pending year-end statements. Rent chain CORRECTED: SPLT rents directly from landlord (no Cyberbrands sublease); mold payment FINALIZED as completed $9,800 pass-through, customer owns mold. Four legal drafts + mold invoice produced 7/2/26 for attorney review and signature.</t>
  </si>
  <si>
    <t xml:space="preserve">Investor context: Shark Tank equity deal (episode unaired) — diligence posture updated (7/2/26)</t>
  </si>
  <si>
    <t xml:space="preserve">Investment is an on-air Shark Tank deal pending the show's due diligence process. Implications: (1) equity DD, not loan underwriting — no personal guarantee expected, but the shark's team verifies every on-air claim against the books: see the new OnAir_Claims_Reconciliation tab and fill it before any diligence call; (2) airing creates both unmodeled sales upside and a funding-timing risk (see Forecast note); (3) entity classification finalized: Chase = SPLT business card ($22,055.63 on SPLT books); Amex = Social Gear obligation (excluded; disclosed); 2025 SPLT-&gt;SGM value transfer restated to $5,550 including SPLT's $3,705 of Amex payments — this figure anchors the 2025 Intercompany Settlement Memo (drafted 7/2/26) alongside the forward-only Contractor Services Agreement (drafted 7/2/26).</t>
  </si>
  <si>
    <t xml:space="preserve">On-air 2024 revenue figure — verified, reconciled, correction drafted (7/2/26)</t>
  </si>
  <si>
    <t xml:space="preserve">Founder stated on air that 2024 revenue was ~$895K. Verification against bank-confirmed data: total 2024 deposits into the Social Gear account were $895,754.12 — the figure cited was the deposit total, not gross receipts. Filed 2024 revenue: $418,990. Combined 2024+2025 revenue: $919,947 (+19.6% YoY). A written Financial Clarification Memorandum was drafted for proactive delivery to the investor team before diligence, with full reconciliation. Non-revenue 2024 inflows (~$476,764) comprised financing advances (Parafin), founder and intercompany transfers, and other non-sales deposits — itemization available from the same statements already in the data room.</t>
  </si>
  <si>
    <t xml:space="preserve">Intercompany &amp; Related-Party Transactions — 2025 (Bank-Verified)</t>
  </si>
  <si>
    <t xml:space="preserve">Every SPLT INC statement Feb-Dec 2025 was read line-by-line (7/2/26 review). Below is the COMPLETE set of direct SPLT INC -&gt; Social Gear Media LLC transfers and other related-party items found.</t>
  </si>
  <si>
    <t xml:space="preserve">Date</t>
  </si>
  <si>
    <t xml:space="preserve">Item</t>
  </si>
  <si>
    <t xml:space="preserve">Direction</t>
  </si>
  <si>
    <t xml:space="preserve">Amount ($)</t>
  </si>
  <si>
    <t xml:space="preserve">Memo / Evidence</t>
  </si>
  <si>
    <t xml:space="preserve">7/9/2025</t>
  </si>
  <si>
    <t xml:space="preserve">Online transfer to Social Gear Media LLC</t>
  </si>
  <si>
    <t xml:space="preserve">SPLT -&gt; SGM</t>
  </si>
  <si>
    <t xml:space="preserve">"Business Checking Balance" — WF stmt 7/31/25</t>
  </si>
  <si>
    <t xml:space="preserve">11/10/2025</t>
  </si>
  <si>
    <t xml:space="preserve">"Business Checking Balance" — WF stmt 11/30/25</t>
  </si>
  <si>
    <t xml:space="preserve">12/18/2025</t>
  </si>
  <si>
    <t xml:space="preserve">IRS USATAXPYMT for "MR Social Gear Media" paid from SPLT account</t>
  </si>
  <si>
    <t xml:space="preserve">SPLT paid SGM obligation</t>
  </si>
  <si>
    <t xml:space="preserve">Commingling item — reimburse or book to intercompany</t>
  </si>
  <si>
    <t xml:space="preserve">11/20/2025 onward</t>
  </si>
  <si>
    <t xml:space="preserve">Shopify payout payor name changes to "Social Gear Media LLC," funds land in SPLT account</t>
  </si>
  <si>
    <t xml:space="preserve">SGM-named revenue -&gt; SPLT</t>
  </si>
  <si>
    <t xml:space="preserve">(various)</t>
  </si>
  <si>
    <t xml:space="preserve">Store registration under SGM name; payouts into SPLT — align Shopify legal entity to SPLT INC</t>
  </si>
  <si>
    <t xml:space="preserve">4/2/2025</t>
  </si>
  <si>
    <t xml:space="preserve">Incoming wire from Chukwuezugo Nwosu (Ally Bank)</t>
  </si>
  <si>
    <t xml:space="preserve">Related party -&gt; SPLT (REVENUE)</t>
  </si>
  <si>
    <t xml:space="preserve">FINAL per management: pass-through mold procurement. Total factory mold fee $9,800 in 3 equal installments of $3,266.67; customer (Chukwuezugo Nwosu) OWNS the mold; deliverables = mold + one sample; service COMPLETE, no further payments due. Only installment 1 visible in SPLT account (4/2/25, passed through to Dongguan Kangdao) — CONFIRM route of installments 2-3. ACCOUNTING: pass-through/agent treatment (not gross revenue) or revenue with offsetting cost — net-zero either way; confirm with CPA how the filed return treated it. Invoice + completion acknowledgment drafted 7/2/26.</t>
  </si>
  <si>
    <t xml:space="preserve">9/17, 10/16, 12/9/2025</t>
  </si>
  <si>
    <t xml:space="preserve">SPLT paid three $1,235.00 Amex installments on Social Gear's Amex Platinum from the SPLT account</t>
  </si>
  <si>
    <t xml:space="preserve">SPLT -&gt; SGM (paid SGM obligation)</t>
  </si>
  <si>
    <t xml:space="preserve">Amex confirmed as Social Gear obligation (mgmt 7/2/26). These payments are intercompany value transfer — include in 2025 settlement memo</t>
  </si>
  <si>
    <t xml:space="preserve">TOTAL SPLT -&gt; SGM value transfer, FY2025 (transfers + Amex payments + IRS)</t>
  </si>
  <si>
    <t xml:space="preserve">FINDING (updated): total 2025 SPLT-&gt;SGM value transfer = $5,550 ($1,600 direct transfers + $3,705 Amex payments + $245 IRS) — roughly $555/mo over the Mar-Dec window. Still nowhere near the drafted $3,500/mo + 10%, which would imply ~$48K and contradict both the bank feed and the filed returns. But $5,550 is a materially better anchor for the 2025 Intercompany Settlement Memo than $1,600: it supports the narrative that SPLT was compensating its management entity informally all along.</t>
  </si>
  <si>
    <t xml:space="preserve">RECOMMENDED PAPER: (1) one-page 2025 Intercompany Settlement Memo documenting the $1,600 of balance transfers + itemized shared costs, matching bank feed and filed returns exactly; (2) forward-only Contractor Services Agreement effective 7/1/2026 at a rate SPLT cash flow actually supports. Role framing: SGM is the founder's single-member LLC serving as management company in lieu of W-2 employment — standard, but the fee must match reality. Flag for CPA: officer-compensation-via-LLC treatment depends on SPLT's tax election (C vs S corp) — confirm with accountant.</t>
  </si>
  <si>
    <t xml:space="preserve">CYBERBRANDS LLC — THIRD RELATED ENTITY (common owner) — disclosure block</t>
  </si>
  <si>
    <t xml:space="preserve">Apr-Dec 2025</t>
  </si>
  <si>
    <t xml:space="preserve">Kickstarter campaign proceeds routed through Cyberbrands ("Cyber Brands Kickstarte" deposits into SPLT)</t>
  </si>
  <si>
    <t xml:space="preserve">Cyberbrands -&gt; SPLT</t>
  </si>
  <si>
    <t xml:space="preserve">~54,386</t>
  </si>
  <si>
    <t xml:space="preserve">11 deposits observed Apr-Dec 2025 (largest $49,562.44 on 4/25/25); reconciles to the $54,682.90 Kickstarter deferred-revenue figure. ACTION: one-page Kickstarter Proceeds Assignment memo (campaign under Cyberbrands, obligation and funds belong to SPLT)</t>
  </si>
  <si>
    <t xml:space="preserve">Monthly</t>
  </si>
  <si>
    <t xml:space="preserve">Warehouse rent $2,500/mo — CORRECTED: SPLT INC rents DIRECTLY from the landlord(s) (Kamyar Chamasmani; earlier payments to Della Moda). Cyberbrands is NOT in the rent chain.</t>
  </si>
  <si>
    <t xml:space="preserve">SPLT -&gt; Landlord (direct)</t>
  </si>
  <si>
    <t xml:space="preserve">ACTION: written month-to-month Warehouse Rental Agreement between SPLT INC and landlord memorializing the existing tenancy — drafted 7/2/26, pending landlord countersignature</t>
  </si>
  <si>
    <t xml:space="preserve">Periodic</t>
  </si>
  <si>
    <t xml:space="preserve">Santander vehicle lease payments (lease held by Cyberbrands; SPLT primary user)</t>
  </si>
  <si>
    <t xml:space="preserve">SPLT pays Cyberbrands' lease</t>
  </si>
  <si>
    <t xml:space="preserve">~2,770 (2025 observed)</t>
  </si>
  <si>
    <t xml:space="preserve">ACTION: Vehicle Use &amp; Reimbursement Agreement — see Debt_Schedule</t>
  </si>
  <si>
    <t xml:space="preserve">C-CORP NOTE (corrected): SPLT INC is a C corporation. Management fees paid to the founder's single-member LLC are deductible under IRC §162 if reasonable in amount and paid for actual, documented services — there is no S-corp "reasonable W-2 wage" issue. The requirements are: a written agreement, a fee that matches services and cash reality, and invoices. Same conclusion as before: paper it forward-only at a supportable rate; confirm final treatment with the CPA.</t>
  </si>
  <si>
    <t xml:space="preserve">On-Air Claims Reconciliation — Shark Tank Due Diligence Prep</t>
  </si>
  <si>
    <t xml:space="preserve">THE #1 KILLER OF SHARK TANK DEALS IN DILIGENCE IS A GAP BETWEEN ON-AIR CLAIMS AND THE BOOKS. The investor's team has the footage. Log every factual claim made in the tank (yellow cells), then reconcile each against the verified figure in this workbook, with source. Where a gap exists, write the explanation HERE, proactively — do not let the analysts find it first.</t>
  </si>
  <si>
    <t xml:space="preserve">Claim made on air (verbatim as possible)</t>
  </si>
  <si>
    <t xml:space="preserve">Category</t>
  </si>
  <si>
    <t xml:space="preserve">Figure stated</t>
  </si>
  <si>
    <t xml:space="preserve">Verified actual (this workbook)</t>
  </si>
  <si>
    <t xml:space="preserve">Source / tab</t>
  </si>
  <si>
    <t xml:space="preserve">Gap? Explanation</t>
  </si>
  <si>
    <t xml:space="preserve">"2024 revenues were $895K" (stated on air)</t>
  </si>
  <si>
    <t xml:space="preserve">Revenue</t>
  </si>
  <si>
    <t xml:space="preserve">$895,000 (2024 revenue)</t>
  </si>
  <si>
    <t xml:space="preserve">MISSTATED METRIC — CORRECTED PROACTIVELY. $895,754.12 = total 2024 bank DEPOSITS into the Social Gear operating account (bank-verifiable, ties to statements provided). Actual 2024 gross receipts per filed return: $418,990. TRUE context: combined 2024+2025 revenue = $919,947 (+19.6% YoY).</t>
  </si>
  <si>
    <t xml:space="preserve">CF_Monthly_2024_SocialGear (deposits sum); PL_Annual_TaxBasis (filed revenue)</t>
  </si>
  <si>
    <t xml:space="preserve">YES — corrected via written Financial Clarification Memorandum (drafted 7/2/26) delivered to investor team BEFORE diligence review. Deposits included financing advances (Parafin), founder/intercompany transfers, and other non-revenue inflows totaling ~$476,764.</t>
  </si>
  <si>
    <t xml:space="preserve">[deal terms agreed on air: $ ___ for ___% (+ any royalty/advisory terms)]</t>
  </si>
  <si>
    <t xml:space="preserve">Deal terms</t>
  </si>
  <si>
    <t xml:space="preserve">Term sheet when issued</t>
  </si>
  <si>
    <t xml:space="preserve">[margin / unit economics stated]</t>
  </si>
  <si>
    <t xml:space="preserve">Margins</t>
  </si>
  <si>
    <t xml:space="preserve">2025 gross margin ~71.4% (Materials &amp; Supplies COGS proxy — true contribution lower)</t>
  </si>
  <si>
    <t xml:space="preserve">Gross_Margin</t>
  </si>
  <si>
    <t xml:space="preserve">[retail / channel claims: Best Buy, Walmart, Macy's, Amazon...]</t>
  </si>
  <si>
    <t xml:space="preserve">Distribution</t>
  </si>
  <si>
    <t xml:space="preserve">Best Buy &amp; Walmart.com live Dec 2025 via Mirakl (&lt;$1K each since launch); Macy's/Walmart legacy channels via Social Gear; Amazon US primary</t>
  </si>
  <si>
    <t xml:space="preserve">Revenue_by_Channel</t>
  </si>
  <si>
    <t xml:space="preserve">[patent claims]</t>
  </si>
  <si>
    <t xml:space="preserve">IP</t>
  </si>
  <si>
    <t xml:space="preserve">US utility patent No. 12,577,032 B2 granted; carried at $100K conservative; prior litigation Splitflask v. Dual Drinks — disclose proactively</t>
  </si>
  <si>
    <t xml:space="preserve">Balance_Sheet; Key_Findings</t>
  </si>
  <si>
    <t xml:space="preserve">[inventory / cash / profitability statements]</t>
  </si>
  <si>
    <t xml:space="preserve">Financial position</t>
  </si>
  <si>
    <t xml:space="preserve">Cash $3,571.86 (5/31/26); inventory $95,400 (mgmt est.); 2025 SPLT net income $9,850.39</t>
  </si>
  <si>
    <t xml:space="preserve">Balance_Sheet; PL_Annual_TaxBasis</t>
  </si>
  <si>
    <t xml:space="preserve">Also expect in Shark diligence: entity structure map (SPLT / Social Gear / Cyberbrands — now papered), cap table, the Kickstarter fulfillment obligation, litigation history, supplier concentration (single factory: Dongguan Kangdao), and the returned card autopays visible in bank statements. Every one of these already has a pre-answered home in this workbook.</t>
  </si>
  <si>
    <t xml:space="preserve">Profit &amp; Loss — As-Filed Tax Basis (Authoritative Totals)</t>
  </si>
  <si>
    <t xml:space="preserve">Source: tax P&amp;L statements provided. These are the real, filed totals; monthly tabs allocate these totals using a methodology described there.</t>
  </si>
  <si>
    <t xml:space="preserve">Social Gear Media LLC
2024</t>
  </si>
  <si>
    <t xml:space="preserve">SPLT INC
2025</t>
  </si>
  <si>
    <t xml:space="preserve">Social Gear Media LLC
2025</t>
  </si>
  <si>
    <t xml:space="preserve">2025 Combined
(SPLT+SocialGear)</t>
  </si>
  <si>
    <t xml:space="preserve">Total Revenue</t>
  </si>
  <si>
    <t xml:space="preserve">Advertising</t>
  </si>
  <si>
    <t xml:space="preserve">Car and truck</t>
  </si>
  <si>
    <t xml:space="preserve">Commissions</t>
  </si>
  <si>
    <t xml:space="preserve">Contract labor</t>
  </si>
  <si>
    <t xml:space="preserve">Insurance</t>
  </si>
  <si>
    <t xml:space="preserve">Interest paid</t>
  </si>
  <si>
    <t xml:space="preserve">Legal and professional services</t>
  </si>
  <si>
    <t xml:space="preserve">Materials &amp; Supplies</t>
  </si>
  <si>
    <t xml:space="preserve">Meals</t>
  </si>
  <si>
    <t xml:space="preserve">Office expenses</t>
  </si>
  <si>
    <t xml:space="preserve">Other business expenses</t>
  </si>
  <si>
    <t xml:space="preserve">Rent and lease</t>
  </si>
  <si>
    <t xml:space="preserve">Travel expenses</t>
  </si>
  <si>
    <t xml:space="preserve">Utilities</t>
  </si>
  <si>
    <t xml:space="preserve">Uncategorized other expenses</t>
  </si>
  <si>
    <t xml:space="preserve">Total Expenses</t>
  </si>
  <si>
    <t xml:space="preserve">Net Income</t>
  </si>
  <si>
    <t xml:space="preserve">Profit &amp; Loss — Monthly (Reconstructed) — 2024</t>
  </si>
  <si>
    <t xml:space="preserve">Entity: Social Gear Media LLC (SPLT INC did not yet exist)  |  METHODOLOGY: monthly figures = as-filed annual tax total x (that month's Amazon channel gross sales / annual Amazon gross sales). This is a reconstruction proxy, not system-generated monthly books.</t>
  </si>
  <si>
    <t xml:space="preserve">Line Item</t>
  </si>
  <si>
    <t xml:space="preserve">Jan</t>
  </si>
  <si>
    <t xml:space="preserve">Feb</t>
  </si>
  <si>
    <t xml:space="preserve">Mar</t>
  </si>
  <si>
    <t xml:space="preserve">Apr</t>
  </si>
  <si>
    <t xml:space="preserve">May</t>
  </si>
  <si>
    <t xml:space="preserve">Jun</t>
  </si>
  <si>
    <t xml:space="preserve">Jul</t>
  </si>
  <si>
    <t xml:space="preserve">Aug</t>
  </si>
  <si>
    <t xml:space="preserve">Sep</t>
  </si>
  <si>
    <t xml:space="preserve">Oct</t>
  </si>
  <si>
    <t xml:space="preserve">Nov</t>
  </si>
  <si>
    <t xml:space="preserve">Dec</t>
  </si>
  <si>
    <t xml:space="preserve">TOTAL
(tax-filed)</t>
  </si>
  <si>
    <t xml:space="preserve">Uncategorized other</t>
  </si>
  <si>
    <t xml:space="preserve">Profit &amp; Loss — Monthly (Reconstructed) — 2025 — SPLT INC</t>
  </si>
  <si>
    <t xml:space="preserve">Entity: SPLT INC. First confirmed SPLT bank statement: Feb 2025.  |  METHODOLOGY: monthly figures = as-filed annual tax total x (that month's Amazon channel gross sales / annual Amazon gross sales). This is a reconstruction proxy, not system-generated monthly books.</t>
  </si>
  <si>
    <t xml:space="preserve">Profit &amp; Loss — Monthly (Reconstructed) — 2025 — Social Gear Media LLC</t>
  </si>
  <si>
    <t xml:space="preserve">Entity: Social Gear Media LLC (Walmart.com/Macy's.com channels). No Amazon-specific monthly sales data available for this entity, so revenue/expense are spread EVENLY across months as a conservative placeholder — replace with actual Walmart/Macy's monthly payout data if available, since actual seasonality is almost certainly uneven.  |  METHODOLOGY: monthly figures = as-filed annual tax total x (that month's Amazon channel gross sales / annual Amazon gross sales). This is a reconstruction proxy, not system-generated monthly books.</t>
  </si>
  <si>
    <t xml:space="preserve">SUPPLEMENTAL / RELATED PARTY DISCLOSURE ONLY — Social Gear Media LLC (single-member LLC, sole member: Arize Nwosu) is the management/contractor entity for SPLT INC, not a separate investment target. This P&amp;L is disclosed for completeness and related-party transparency, NOT as part of SPLT INC's core financial statements. Monthly figures are evenly distributed (no monthly Walmart/Macy's data available) — replace with actual channel payout statements if available.</t>
  </si>
  <si>
    <t xml:space="preserve">Cash Flow — Monthly — 2023 (Bank-Confirmed) — Social Gear Media LLC</t>
  </si>
  <si>
    <t xml:space="preserve">Entity: Social Gear Media LLC, Wells Fargo acct ...8625. Splitflask sales began October 2023. Only Q4 2023 statements provided as that is when business commenced.</t>
  </si>
  <si>
    <t xml:space="preserve">Month</t>
  </si>
  <si>
    <t xml:space="preserve">Beginning Cash</t>
  </si>
  <si>
    <t xml:space="preserve">Deposits/Credits</t>
  </si>
  <si>
    <t xml:space="preserve">Withdrawals/Debits</t>
  </si>
  <si>
    <t xml:space="preserve">Net Change</t>
  </si>
  <si>
    <t xml:space="preserve">Ending Cash</t>
  </si>
  <si>
    <t xml:space="preserve">Source</t>
  </si>
  <si>
    <t xml:space="preserve">Oct 2023</t>
  </si>
  <si>
    <t xml:space="preserve">WF stmt 10/31/23 (confirmed)</t>
  </si>
  <si>
    <t xml:space="preserve">Nov 2023</t>
  </si>
  <si>
    <t xml:space="preserve">WF stmt 11/30/23 (confirmed)</t>
  </si>
  <si>
    <t xml:space="preserve">Dec 2023</t>
  </si>
  <si>
    <t xml:space="preserve">WF stmt 12/31/23 (confirmed)</t>
  </si>
  <si>
    <t xml:space="preserve">NOTE: Oct 2023 beginning balance (24.04) reflects the account state before Splitflask product sales commenced. The account operated at minimal balance prior to first Shopify/Affirm deposits on 10/19/23.</t>
  </si>
  <si>
    <t xml:space="preserve">Cash Flow — Monthly — 2024 (Bank-Confirmed)</t>
  </si>
  <si>
    <t xml:space="preserve">Entity: Social Gear Media LLC, Wells Fargo acct ...8625. Deposits/withdrawals are TOTAL bank activity (includes intercompany transfers, loans, personal spend) — NOT equivalent to the P&amp;L tab, which uses tax-basis totals.</t>
  </si>
  <si>
    <t xml:space="preserve">WF stmt 1/31/24</t>
  </si>
  <si>
    <t xml:space="preserve">WF stmt 2/29/24 (confirmed - gap closed)</t>
  </si>
  <si>
    <t xml:space="preserve">WF stmt 3/31/24</t>
  </si>
  <si>
    <t xml:space="preserve">WF stmt 4/30/24</t>
  </si>
  <si>
    <t xml:space="preserve">WF stmt 5/31/24</t>
  </si>
  <si>
    <t xml:space="preserve">WF stmt 6/30/24</t>
  </si>
  <si>
    <t xml:space="preserve">WF stmt 7/31/24</t>
  </si>
  <si>
    <t xml:space="preserve">WF stmt 8/31/24</t>
  </si>
  <si>
    <t xml:space="preserve">WF stmt 9/30/24</t>
  </si>
  <si>
    <t xml:space="preserve">WF stmt 10/31/24</t>
  </si>
  <si>
    <t xml:space="preserve">WF stmt 11/30/24</t>
  </si>
  <si>
    <t xml:space="preserve">WF stmt 12/31/24 (confirmed - gap closed)</t>
  </si>
  <si>
    <t xml:space="preserve">NOTE — Why monthly deposits here differ from P&amp;L monthly revenue: These are RAW BANK DEPOSITS — they include founder loan advances, Cyberbrands intercompany transfers, personal transfers in, Parafin advances, and all other cash inflows regardless of source. The P&amp;L tab shows TAX-BASIS REVENUE ONLY (what your accountant classified as sales). These will never match and that is correct. A lender will understand this distinction.</t>
  </si>
  <si>
    <t xml:space="preserve">Cash Flow — Monthly — 2025 (Bank-Confirmed) — SPLT INC</t>
  </si>
  <si>
    <t xml:space="preserve">Entity: SPLT INC, Wells Fargo acct ...0423. Deposits/withdrawals are TOTAL bank activity (includes founder loan advances/repayments, intercompany transfers) — NOT equivalent to the P&amp;L tab.</t>
  </si>
  <si>
    <t xml:space="preserve">n/a</t>
  </si>
  <si>
    <t xml:space="preserve">WF stmt not on file; shown as Feb-begin</t>
  </si>
  <si>
    <t xml:space="preserve">WF stmt 2/28/25</t>
  </si>
  <si>
    <t xml:space="preserve">WF stmt 3/31/25</t>
  </si>
  <si>
    <t xml:space="preserve">WF stmt 4/30/25</t>
  </si>
  <si>
    <t xml:space="preserve">WF stmt 5/31/25</t>
  </si>
  <si>
    <t xml:space="preserve">WF stmt 6/30/25</t>
  </si>
  <si>
    <t xml:space="preserve">WF stmt 7/31/25 (confirmed - gap closed)</t>
  </si>
  <si>
    <t xml:space="preserve">WF stmt 8/31/25</t>
  </si>
  <si>
    <t xml:space="preserve">WF stmt 9/30/25</t>
  </si>
  <si>
    <t xml:space="preserve">WF stmt 10/31/25</t>
  </si>
  <si>
    <t xml:space="preserve">WF stmt 11/30/25</t>
  </si>
  <si>
    <t xml:space="preserve">WF stmt 12/31/25</t>
  </si>
  <si>
    <t xml:space="preserve">Cash Flow — Monthly — 2026 YTD — SPLT INC</t>
  </si>
  <si>
    <t xml:space="preserve">Entity: SPLT INC, same account. Matches investor package figures.</t>
  </si>
  <si>
    <t xml:space="preserve">WF stmt 1/31/26</t>
  </si>
  <si>
    <t xml:space="preserve">WF stmt 2/28/26</t>
  </si>
  <si>
    <t xml:space="preserve">WF stmt 3/31/26</t>
  </si>
  <si>
    <t xml:space="preserve">WF stmt 4/30/26</t>
  </si>
  <si>
    <t xml:space="preserve">WF stmt 5/31/26</t>
  </si>
  <si>
    <t xml:space="preserve">Balance Sheet — Year-End Snapshots (Corrected)</t>
  </si>
  <si>
    <t xml:space="preserve">Cash = bank-confirmed. Inventory/Equipment/IP = management estimates from investor package (not independently appraised - see prior diligence note on patent valuation inconsistency). Founder loan CORRECTED to match signed loan agreement.</t>
  </si>
  <si>
    <t xml:space="preserve">12/31/2024
(Social Gear)</t>
  </si>
  <si>
    <t xml:space="preserve">12/31/2025
SPLT INC</t>
  </si>
  <si>
    <t xml:space="preserve">5/31/2026
SPLT INC (interim)</t>
  </si>
  <si>
    <t xml:space="preserve">Cash</t>
  </si>
  <si>
    <t xml:space="preserve">Inventory</t>
  </si>
  <si>
    <t xml:space="preserve">n/a - not tracked for Social Gear</t>
  </si>
  <si>
    <t xml:space="preserve">Equipment</t>
  </si>
  <si>
    <t xml:space="preserve">Furniture &amp; Warehouse Assets</t>
  </si>
  <si>
    <t xml:space="preserve">Patent Portfolio (mgmt estimate - SEE PRIOR FLAG re: $100K vs $2M inconsistency)</t>
  </si>
  <si>
    <t xml:space="preserve">TOTAL ASSETS (excl. unverified intangibles)</t>
  </si>
  <si>
    <t xml:space="preserve">Credit Card Balance (Chase — SPLT de facto business card)</t>
  </si>
  <si>
    <t xml:space="preserve">unknown - statement now on file, not yet itemized here</t>
  </si>
  <si>
    <t xml:space="preserve">Founder Loan Payable — Arize Nwosu to SPLT INC (per signed loan agreement)</t>
  </si>
  <si>
    <t xml:space="preserve">n/a — pre-SPLT period</t>
  </si>
  <si>
    <t xml:space="preserve">Deferred Revenue (Kickstarter, 13% fulfilled)</t>
  </si>
  <si>
    <t xml:space="preserve">TOTAL LIABILITIES (corrected)</t>
  </si>
  <si>
    <t xml:space="preserve">Family Loan Payable — Chukwuezugo Nwosu to SOCIAL GEAR MEDIA LLC only (NOT a SPLT INC obligation — retroactive promissory note needed)</t>
  </si>
  <si>
    <t xml:space="preserve">NET EQUITY (Assets - Liabilities)</t>
  </si>
  <si>
    <t xml:space="preserve">NOTES: (1) Row 15 family loan = SOCIAL GEAR MEDIA LLC liability, disclosure only, EXCLUDED from SPLT totals. (2) ENTITY CLASSIFICATION OF CARDS (confirmed by management 7/2/26): Chase Sapphire Reserve is SPLT INC's de facto business card (funded ad spend; paid by SPLT) — ON SPLT books at $22,055.63 per stmt 6/8/26. Amex Platinum ($25,327.77) is a SOCIAL GEAR MEDIA LLC obligation, funded by Social Gear in 2026 — EXCLUDED from SPLT balances, disclosed on the Intercompany_RelatedParty and Credit_Cards tabs. SPLT paid $3,705 of Amex installments in 2025; treated as intercompany value transfer to Social Gear.</t>
  </si>
  <si>
    <t xml:space="preserve">Trial Balance — Reconstructed (Not System-Generated)</t>
  </si>
  <si>
    <t xml:space="preserve">No QuickBooks/Xero ledger exists for this business. This trial balance is assembled from bank-confirmed cash, the loan agreement, the investor package's asset estimates, and the tax-filed P&amp;L categories. It approximates a TB but was not produced by an accounting system and has not been audited or reviewed.</t>
  </si>
  <si>
    <t xml:space="preserve">Account</t>
  </si>
  <si>
    <t xml:space="preserve">12/31/2025 SPLT INC</t>
  </si>
  <si>
    <t xml:space="preserve">5/31/2026 SPLT INC (YTD)</t>
  </si>
  <si>
    <t xml:space="preserve">Patent Portfolio (mgmt est.)</t>
  </si>
  <si>
    <t xml:space="preserve">Credit Card Payable (Chase only — SPLT business card; Amex is a Social Gear obligation, excluded)</t>
  </si>
  <si>
    <t xml:space="preserve">Deferred Revenue - Kickstarter</t>
  </si>
  <si>
    <t xml:space="preserve">Revenue YTD (tax basis)</t>
  </si>
  <si>
    <t xml:space="preserve">Expenses YTD (tax basis)</t>
  </si>
  <si>
    <t xml:space="preserve">MEMO ONLY — Family Loan (Chukwuezugo Nwosu) is a SOCIAL GEAR MEDIA LLC liability, NOT a SPLT INC account. Excluded from SPLT trial balance totals below; disclosed for related-party completeness.</t>
  </si>
  <si>
    <t xml:space="preserve">(4,000 — SGM books)</t>
  </si>
  <si>
    <t xml:space="preserve">Owner's Equity (plug — reconstructed TB)</t>
  </si>
  <si>
    <t xml:space="preserve">TB CHECK (should be 0)</t>
  </si>
  <si>
    <t xml:space="preserve">Equity is a balancing plug, standard for a reconstructed TB with no ledger system. 5/31/26 column is balance-sheet-only (no YTD 2026 tax P&amp;L exists yet); 2026 YTD activity is captured on the bank-confirmed CF_Monthly_2026YTD_SPLT tab.</t>
  </si>
  <si>
    <t xml:space="preserve">A/R and A/P Aging — 12/31/2023, 12/31/2024, 12/31/2025, YTD 2026 (5/31/26)</t>
  </si>
  <si>
    <t xml:space="preserve">Marketplace/DTC cash-basis business (Amazon, Shopify, TikTok Shop, Walmart.com, Macys.com, Mirakl). Channels settle on rolling payout schedules, not invoiced terms: trade A/R is $0 at every date below aside from in-transit marketplace payouts (typically &lt;14 days, not separately tracked). No vendor-bill A/P subledger exists; supplier (Dongguan Kangdao) is paid by wire at order time. The items below are the balances that FUNCTION as A/R- and A/P-like obligations.</t>
  </si>
  <si>
    <t xml:space="preserve">Entity</t>
  </si>
  <si>
    <t xml:space="preserve">12/31/2023</t>
  </si>
  <si>
    <t xml:space="preserve">12/31/2024</t>
  </si>
  <si>
    <t xml:space="preserve">12/31/2025</t>
  </si>
  <si>
    <t xml:space="preserve">YTD 2026 (5/31/26)</t>
  </si>
  <si>
    <t xml:space="preserve">ACCOUNTS RECEIVABLE</t>
  </si>
  <si>
    <t xml:space="preserve">Trade A/R (invoiced customers)</t>
  </si>
  <si>
    <t xml:space="preserve">SPLT / SGM</t>
  </si>
  <si>
    <t xml:space="preserve">Marketplace payouts in transit (est. &lt;14 days sales)</t>
  </si>
  <si>
    <t xml:space="preserve">not tracked</t>
  </si>
  <si>
    <t xml:space="preserve">ACCOUNTS PAYABLE &amp; AP-LIKE OBLIGATIONS</t>
  </si>
  <si>
    <t xml:space="preserve">Trade A/P (vendor bills on terms)</t>
  </si>
  <si>
    <t xml:space="preserve">Credit card payable (aggregate)</t>
  </si>
  <si>
    <t xml:space="preserve">SPLT INC</t>
  </si>
  <si>
    <t xml:space="preserve">unknown</t>
  </si>
  <si>
    <t xml:space="preserve">Kickstarter deferred revenue (fulfillment obligation)</t>
  </si>
  <si>
    <t xml:space="preserve">—</t>
  </si>
  <si>
    <t xml:space="preserve">Founder loan payable — Arize Nwosu (per signed Revolving Loan Agreement)</t>
  </si>
  <si>
    <t xml:space="preserve">Family loan payable — Chukwuezugo Nwosu (SGM entity only; disclosure)</t>
  </si>
  <si>
    <t xml:space="preserve">Social Gear Media LLC</t>
  </si>
  <si>
    <t xml:space="preserve">Aging buckets (0-30/31-60/61-90/90+) are not applicable: none of the above are invoice-dated trade balances. Kickstarter deferred revenue is ~87% unfulfilled as of late 2025 (mgmt est. ~$15,000 remaining cash cost to fulfill). Citiesocial (Taiwan), Everything Kitchen (AUS), Waen Inc. (Japan), and NBK Kuwait wires were all PREPAID — received before/at shipment, so no A/R existed.</t>
  </si>
  <si>
    <t xml:space="preserve">Gross Margin Analysis</t>
  </si>
  <si>
    <t xml:space="preserve">COGS proxy = 'Materials &amp; Supplies' tax category, the closest available line to true COGS. Other costs (fulfillment, ad spend) are NOT included in this COGS proxy - true contribution margin is lower than shown.</t>
  </si>
  <si>
    <t xml:space="preserve">Metric</t>
  </si>
  <si>
    <t xml:space="preserve">2024 Social Gear</t>
  </si>
  <si>
    <t xml:space="preserve">2025 SPLT INC</t>
  </si>
  <si>
    <t xml:space="preserve">2025 Social Gear</t>
  </si>
  <si>
    <t xml:space="preserve">COGS proxy (Materials &amp; Supplies)</t>
  </si>
  <si>
    <t xml:space="preserve">Gross Profit</t>
  </si>
  <si>
    <t xml:space="preserve">Gross Margin %</t>
  </si>
  <si>
    <t xml:space="preserve">24–36 Month Forecast — SPLT INC</t>
  </si>
  <si>
    <t xml:space="preserve">Anchored to ACTUAL 2026 YTD run rate (Jan-May), not assumptions pulled from thin air. Adjust the blue assumption cells to test scenarios.</t>
  </si>
  <si>
    <t xml:space="preserve">ASSUMPTIONS (editable)</t>
  </si>
  <si>
    <t xml:space="preserve">Starting monthly cash inflow (avg 2026 YTD deposits)</t>
  </si>
  <si>
    <t xml:space="preserve">Starting monthly cash outflow (avg 2026 YTD withdrawals)</t>
  </si>
  <si>
    <t xml:space="preserve">Monthly inflow growth %</t>
  </si>
  <si>
    <t xml:space="preserve">Monthly outflow growth %</t>
  </si>
  <si>
    <t xml:space="preserve">NOTE: assumption cells B5:B8 are editable (blue). B5/B6 are 2026 YTD Jan-May actual averages.</t>
  </si>
  <si>
    <t xml:space="preserve">M1</t>
  </si>
  <si>
    <t xml:space="preserve">M2</t>
  </si>
  <si>
    <t xml:space="preserve">M3</t>
  </si>
  <si>
    <t xml:space="preserve">M4</t>
  </si>
  <si>
    <t xml:space="preserve">M5</t>
  </si>
  <si>
    <t xml:space="preserve">M6</t>
  </si>
  <si>
    <t xml:space="preserve">M7</t>
  </si>
  <si>
    <t xml:space="preserve">M8</t>
  </si>
  <si>
    <t xml:space="preserve">M9</t>
  </si>
  <si>
    <t xml:space="preserve">M10</t>
  </si>
  <si>
    <t xml:space="preserve">M11</t>
  </si>
  <si>
    <t xml:space="preserve">M12</t>
  </si>
  <si>
    <t xml:space="preserve">M13</t>
  </si>
  <si>
    <t xml:space="preserve">M14</t>
  </si>
  <si>
    <t xml:space="preserve">M15</t>
  </si>
  <si>
    <t xml:space="preserve">M16</t>
  </si>
  <si>
    <t xml:space="preserve">M17</t>
  </si>
  <si>
    <t xml:space="preserve">M18</t>
  </si>
  <si>
    <t xml:space="preserve">M19</t>
  </si>
  <si>
    <t xml:space="preserve">M20</t>
  </si>
  <si>
    <t xml:space="preserve">M21</t>
  </si>
  <si>
    <t xml:space="preserve">M22</t>
  </si>
  <si>
    <t xml:space="preserve">M23</t>
  </si>
  <si>
    <t xml:space="preserve">M24</t>
  </si>
  <si>
    <t xml:space="preserve">M25</t>
  </si>
  <si>
    <t xml:space="preserve">M26</t>
  </si>
  <si>
    <t xml:space="preserve">M27</t>
  </si>
  <si>
    <t xml:space="preserve">M28</t>
  </si>
  <si>
    <t xml:space="preserve">M29</t>
  </si>
  <si>
    <t xml:space="preserve">M30</t>
  </si>
  <si>
    <t xml:space="preserve">M31</t>
  </si>
  <si>
    <t xml:space="preserve">M32</t>
  </si>
  <si>
    <t xml:space="preserve">M33</t>
  </si>
  <si>
    <t xml:space="preserve">M34</t>
  </si>
  <si>
    <t xml:space="preserve">M35</t>
  </si>
  <si>
    <t xml:space="preserve">M36</t>
  </si>
  <si>
    <t xml:space="preserve">Cash In (forecast)</t>
  </si>
  <si>
    <t xml:space="preserve">Cash Out (forecast)</t>
  </si>
  <si>
    <t xml:space="preserve">Net Cash Flow</t>
  </si>
  <si>
    <t xml:space="preserve">Cumulative Cash (start: $3,571.86)</t>
  </si>
  <si>
    <t xml:space="preserve">Cash &lt; $0 flag</t>
  </si>
  <si>
    <t xml:space="preserve">BURN &amp; RUNWAY SUMMARY (lender checklist items)</t>
  </si>
  <si>
    <t xml:space="preserve">Monthly cash burn rate (2026 YTD actual, bank-confirmed: avg outflow - avg inflow)</t>
  </si>
  <si>
    <t xml:space="preserve">Cash on hand, 5/31/2026 (bank-confirmed)</t>
  </si>
  <si>
    <t xml:space="preserve">Runway at current burn (months)</t>
  </si>
  <si>
    <t xml:space="preserve">Base-case forecast: months until cash goes below $0</t>
  </si>
  <si>
    <t xml:space="preserve">READ THIS BEFORE PRESENTING: the burn rate uses RAW bank flows, which include founder loan advances/repayments in both directions — it is a cash-reality number, not an operating-P&amp;L number. Runway of ~2.8 months means the plan REQUIRES either the raise closing, founder advances continuing, or a step-change in sales. Do not present the 2%/1% growth base case as self-funding: cumulative cash goes negative at M3 and the model only recovers via assumed growth. A lender will test exactly this.</t>
  </si>
  <si>
    <t xml:space="preserve">COMMITTED MONTHLY FIXED OBLIGATIONS (already inside the burn — broken out for lender visibility)</t>
  </si>
  <si>
    <t xml:space="preserve">Warehouse rent (via Cyberbrands master lease, paid to landlord)</t>
  </si>
  <si>
    <t xml:space="preserve">Zelle, observed every month</t>
  </si>
  <si>
    <t xml:space="preserve">Chase card fixed autopay</t>
  </si>
  <si>
    <t xml:space="preserve">Per 6/8/26 statement — autopay ON</t>
  </si>
  <si>
    <t xml:space="preserve">Amex — REMOVED from SPLT committed obligations (Social Gear funds it in 2026)</t>
  </si>
  <si>
    <t xml:space="preserve">Excluded per entity classification 7/2/26. If SPLT ever pays it again, log as intercompany</t>
  </si>
  <si>
    <t xml:space="preserve">Vehicle lease (Santander, via Cyberbrands)</t>
  </si>
  <si>
    <t xml:space="preserve">Observed $1,402.57 + $1,367.57 in 2025; shown as monthly-equivalent estimate — confirm cadence from lease</t>
  </si>
  <si>
    <t xml:space="preserve">Total committed fixed / month</t>
  </si>
  <si>
    <t xml:space="preserve">Committed fixed as % of avg monthly cash inflow</t>
  </si>
  <si>
    <t xml:space="preserve">THE RAISE IS THE RUNWAY</t>
  </si>
  <si>
    <t xml:space="preserve">Stated plainly for any reader of this model: SPLT INC's operating cash does not self-fund the next 12 months. Cash on hand covers ~2.8 months at current burn, and ~36% of monthly cash inflow is already committed to rent, card payments, and the vehicle before a dollar of inventory or advertising. The financing being raised IS the runway: it retires the 27.74% card debt (immediately improving monthly cash by ~$2,700 of payments), funds inventory for the Q4 season, and bridges to the 2026 channel expansion (Best Buy / Walmart / TikTok Shop / international) reaching scale. The forecast above should be read as: base case = raise closes; downside without the raise = cash exhausted inside one quarter.</t>
  </si>
  <si>
    <t xml:space="preserve">SHARK TANK AIRING — TIMING RISK &amp; UPSIDE</t>
  </si>
  <si>
    <t xml:space="preserve">The pending investment follows an on-air Shark Tank deal (episode not yet aired). Two forecast implications: (1) UPSIDE NOT MODELED — Shark Tank episodes historically drive a multi-week sales surge on airing; no airing bump is included in the base case above, making the base case conservative on inflows. (2) TIMING RISK — if the episode airs before the investment funds, SPLT must finance spike inventory and ad spend from a ~$3.6K cash position. Mitigations to arrange now: confirm expected airing window with production, pre-negotiate factory payment terms for a spike PO, and sequence deal funding ahead of airing wherever possible.</t>
  </si>
  <si>
    <t xml:space="preserve">Debt Agreements &amp; Schedules — SPLT INC (+ related-party disclosure)</t>
  </si>
  <si>
    <t xml:space="preserve">Creditor / Facility</t>
  </si>
  <si>
    <t xml:space="preserve">Type &amp; Documentation</t>
  </si>
  <si>
    <t xml:space="preserve">Original Amount</t>
  </si>
  <si>
    <t xml:space="preserve">Balance (latest)</t>
  </si>
  <si>
    <t xml:space="preserve">Interest Rate</t>
  </si>
  <si>
    <t xml:space="preserve">Payment Terms</t>
  </si>
  <si>
    <t xml:space="preserve">Security / Notes</t>
  </si>
  <si>
    <t xml:space="preserve">Arize Nwosu (Founder) — Revolving Loan &amp; Officer Advance Agreement</t>
  </si>
  <si>
    <t xml:space="preserve">Signed agreement effective 6/30/2026; Exhibit A ledger: advances $66,587, repayments $52,708</t>
  </si>
  <si>
    <t xml:space="preserve">Per signed agreement</t>
  </si>
  <si>
    <t xml:space="preserve">Revolving; repaid from available cash</t>
  </si>
  <si>
    <t xml:space="preserve">Documented. 12/31/25 balance was $25,287 before 2026 repayments</t>
  </si>
  <si>
    <t xml:space="preserve">Chase Sapphire Reserve (SPLT de facto business card) — see Credit_Cards tab</t>
  </si>
  <si>
    <t xml:space="preserve">Documented per stmt 6/8/26. Amex Platinum reclassified to Social Gear Media LLC (related-entity disclosure on Credit_Cards tab)</t>
  </si>
  <si>
    <t xml:space="preserve">SPLT INC / officer</t>
  </si>
  <si>
    <t xml:space="preserve">Chase 27.74% (v)</t>
  </si>
  <si>
    <t xml:space="preserve">Chase $1,500/mo fixed autopay (due 7/5)</t>
  </si>
  <si>
    <t xml:space="preserve">Unsecured. 98% utilized. Balance $22,055.63 per stmt; Past Due $0.00. Returned autopay attempts visible in bank statements are explained on the Credit_Cards tab (payout-cycle timing; account current).</t>
  </si>
  <si>
    <t xml:space="preserve">Santander — vehicle lease (lessee: Cyberbrands LLC)</t>
  </si>
  <si>
    <t xml:space="preserve">Vehicle lease held by Cyberbrands LLC (related entity, common owner). SPLT INC is primary user and has been paying lease invoices from its account ($1,402.57 on 9/16/25; $1,367.57 on 12/17/25)</t>
  </si>
  <si>
    <t xml:space="preserve">Cyberbrands LLC (SPLT = user/payer)</t>
  </si>
  <si>
    <t xml:space="preserve">n/a — lease, not debt</t>
  </si>
  <si>
    <t xml:space="preserve">Per lease (obtain from Cyberbrands file)</t>
  </si>
  <si>
    <t xml:space="preserve">~$1,385 per observed payment; cadence to confirm from lease</t>
  </si>
  <si>
    <t xml:space="preserve">ACTION: execute Vehicle Use &amp; Cost Reimbursement Agreement between Cyberbrands LLC and SPLT INC (or assign the lease to SPLT). Add lease to data room. Without paper, these are undocumented related-party payments to a third entity</t>
  </si>
  <si>
    <t xml:space="preserve">Chukwuezugo Nwosu — family loan</t>
  </si>
  <si>
    <t xml:space="preserve">Undocumented; retroactive promissory note recommended</t>
  </si>
  <si>
    <t xml:space="preserve">Social Gear Media LLC (NOT SPLT INC)</t>
  </si>
  <si>
    <t xml:space="preserve">None stated</t>
  </si>
  <si>
    <t xml:space="preserve">None stated; $25,000 repaid 12/26/24 by wire</t>
  </si>
  <si>
    <t xml:space="preserve">Unsecured. Related-party disclosure only — not a SPLT INC obligation</t>
  </si>
  <si>
    <t xml:space="preserve">TOTAL SPLT INC DEBT (founder loan + credit cards)</t>
  </si>
  <si>
    <t xml:space="preserve">NOT DEBT, disclosed elsewhere: Kickstarter deferred revenue $45,574.12 (fulfillment obligation, Balance Sheet). Tesla Finance ($584.65-$613.88/mo) and Tesla Insurance ($449/mo) payments run through the SPLT account but are officer personal vehicle obligations — treated as officer advances under the Revolving Loan Agreement, not company debt. Confirm the loan ledger captures them.</t>
  </si>
  <si>
    <t xml:space="preserve">Credit Card Debt — Rates &amp; Pay-Down Plan</t>
  </si>
  <si>
    <t xml:space="preserve">ENTITY CLASSIFICATION (management-confirmed 7/2/26): Chase = SPLT INC de facto business card. Amex Platinum = SOCIAL GEAR MEDIA LLC obligation (funded by Social Gear in 2026) — shown below as RELATED-ENTITY DISCLOSURE, excluded from SPLT totals. Rationale a reviewer will accept: Chase funded SPLT ad spend and is serviced by SPLT; Amex is serviced by the management entity. NOTE: SPLT's 2025 statements show SPLT paid three $1,235 Amex installments (9/17, 10/16, 12/9/25 = $3,705) — classified as intercompany value transfer to Social Gear, see Intercompany_RelatedParty tab.</t>
  </si>
  <si>
    <t xml:space="preserve">Card</t>
  </si>
  <si>
    <t xml:space="preserve">Balance ($)</t>
  </si>
  <si>
    <t xml:space="preserve">APR (enter from stmt)</t>
  </si>
  <si>
    <t xml:space="preserve">Planned Monthly Payment ($)</t>
  </si>
  <si>
    <t xml:space="preserve">Est. Months to Payoff</t>
  </si>
  <si>
    <t xml:space="preserve">Total Interest (est.)</t>
  </si>
  <si>
    <t xml:space="preserve">Notes</t>
  </si>
  <si>
    <t xml:space="preserve">Chase Sapphire Reserve ...3247 (Arize Nwosu)</t>
  </si>
  <si>
    <t xml:space="preserve">DOCUMENTED per stmt 6/8/26: line $22,500 (98.0% utilized); min due $764 by 7/5/26; fixed autopay $1,500/mo; purchase APR 27.74% variable; 2026 YTD interest $2,905.84 + fees $550.00. Returned autopay attempts appear in the 2025-26 bank statements — explanation on file: timing gaps between marketplace payout cycles and the fixed autopay date, not disputed charges; account is current and has never carried a Past Due Amount (stmt shows Past Due $0.00).</t>
  </si>
  <si>
    <t xml:space="preserve">RELATED-ENTITY DISCLOSURE — Amex Platinum ...5-12004 (Social Gear Media LLC obligation)</t>
  </si>
  <si>
    <t xml:space="preserve">NOT a SPLT liability. Per stmt 6/19/26: $25,327.77 on a 9.99% Pay Over Time payment plan, $1,235/mo, funded by Social Gear in 2026. Disclosed here solely because SPLT paid $3,705 of installments in 2025 (see Intercompany_RelatedParty tab).</t>
  </si>
  <si>
    <t xml:space="preserve">Other (add per statements)</t>
  </si>
  <si>
    <t xml:space="preserve">TOTAL — SPLT INC card debt (Chase only)</t>
  </si>
  <si>
    <t xml:space="preserve">Check vs. Chase stmt ($22,055.63)</t>
  </si>
  <si>
    <t xml:space="preserve">PAY-DOWN PLAN (SPLT scope): Chase $1,500/mo fixed autopay at 27.74% retires in ~18 months; raise-proceeds priority = retire Chase in full (frees $1,500/mo and eliminates the highest-APR exposure). Amex is Social Gear's to service from its own cash flow — SPLT should not resume paying it; if it ever does, log each payment as intercompany. Cash management note: confirm the SPLT checking balance covers the $1,500 Chase autopay on 7/5/26.</t>
  </si>
  <si>
    <t xml:space="preserve">Bank Statement Index — coverage for the "6-12 months of bank statements" request</t>
  </si>
  <si>
    <t xml:space="preserve">Period Covered</t>
  </si>
  <si>
    <t xml:space="preserve">Status</t>
  </si>
  <si>
    <t xml:space="preserve">WF ...8625</t>
  </si>
  <si>
    <t xml:space="preserve">Sep-Dec 2023 (business commenced Oct 2023)</t>
  </si>
  <si>
    <t xml:space="preserve">On file, confirmed</t>
  </si>
  <si>
    <t xml:space="preserve">Jan-Dec 2024 (full year)</t>
  </si>
  <si>
    <t xml:space="preserve">2025 monthly</t>
  </si>
  <si>
    <t xml:space="preserve">Partially on file — confirm full-year set in data room</t>
  </si>
  <si>
    <t xml:space="preserve">WF ...0423</t>
  </si>
  <si>
    <t xml:space="preserve">Feb 2025 - Dec 2025 (account opened 1/28/25; no Jan stmt exists)</t>
  </si>
  <si>
    <t xml:space="preserve">On file, confirmed — every month read line-by-line in this review</t>
  </si>
  <si>
    <t xml:space="preserve">Jan 2026 - May 2026</t>
  </si>
  <si>
    <t xml:space="preserve">Jun 2026</t>
  </si>
  <si>
    <t xml:space="preserve">Pending — add when issued (~7/1/26)</t>
  </si>
  <si>
    <t xml:space="preserve">Trailing-12-months (Jun 2025 - May 2026) for the operating entity SPLT INC: COMPLETE. Lender checklist item satisfied. Chase statement + additional WF PDFs also in data room folder.</t>
  </si>
  <si>
    <t xml:space="preserve">SPLT INC — Revenue by Channel / Year (All Sources)</t>
  </si>
  <si>
    <t xml:space="preserve">Source: Amazon gross sales exports (monthly confirmed), Shopify 2026 monthly confirmed, Best Buy/Walmart via Mirakl transaction logs, TikTok Shop statement, Kuwait wire confirmed, Amazon SG/AUS dashboards (AUS in AUD). 2024 and 2025 Shopify DTC = residual after Amazon (no monthly Shopify export for those years). Best Buy and Walmart live since Dec 2025 — nascent channels, not established retail distribution.</t>
  </si>
  <si>
    <t xml:space="preserve">Channel</t>
  </si>
  <si>
    <t xml:space="preserve">2024 (Social Gear)</t>
  </si>
  <si>
    <t xml:space="preserve">2025 (SPLT INC)</t>
  </si>
  <si>
    <t xml:space="preserve">2025 (Social Gear)</t>
  </si>
  <si>
    <t xml:space="preserve">2026 YTD (Apr)</t>
  </si>
  <si>
    <t xml:space="preserve">Amazon US (gross sales)</t>
  </si>
  <si>
    <t xml:space="preserve">Hard data — monthly confirmed from Amazon Seller Central export</t>
  </si>
  <si>
    <t xml:space="preserve">Shopify / DTC</t>
  </si>
  <si>
    <t xml:space="preserve">2024/2025 = residual (total tax revenue minus Amazon); 2026 = Shopify monthly export confirmed</t>
  </si>
  <si>
    <t xml:space="preserve">Von Maur (EDI wholesale)</t>
  </si>
  <si>
    <t xml:space="preserve">Social Gear</t>
  </si>
  <si>
    <t xml:space="preserve">Single EDI payment 12/10/2024 — $7,200; appears once in bank, no other Von Maur payments found</t>
  </si>
  <si>
    <t xml:space="preserve">Best Buy (via Mirakl)</t>
  </si>
  <si>
    <t xml:space="preserve">Live since Dec 2025. Gross order amounts from transaction log. Very nascent channel — combined since launch &lt; $800</t>
  </si>
  <si>
    <t xml:space="preserve">Walmart.com (via Mirakl)</t>
  </si>
  <si>
    <t xml:space="preserve">Live since Dec 2025. Net amounts transferred to store from billing log. Nascent — parallel launch with Best Buy</t>
  </si>
  <si>
    <t xml:space="preserve">TikTok Shop</t>
  </si>
  <si>
    <t xml:space="preserve">Merchant statement covers Dec 2025 - Mar 2026: gross $599.52, net income $542.07. Platform labeled Sharper Image in merchant portal but this is TikTok Shop. Pre-2026 TikTok deposits visible in bank feed but not separately quantified here.</t>
  </si>
  <si>
    <t xml:space="preserve">Kuwait International (wire)</t>
  </si>
  <si>
    <t xml:space="preserve">Confirmed: NBK wire from Fadi Ibrahim Mohammad Altayan, 11/11/2025, $1,410.21 USD, ref MOB0046X0B. Matches international distributor channel from unit economics.</t>
  </si>
  <si>
    <t xml:space="preserve">Amazon Singapore</t>
  </si>
  <si>
    <t xml:space="preserve">2025 full year + 2026 YTD from dashboard. USD amounts.</t>
  </si>
  <si>
    <t xml:space="preserve">Amazon Australia (converted to USD)</t>
  </si>
  <si>
    <t xml:space="preserve">Converted from AUD. 2025: A$2,369.15 x 0.6451 (2025 annual avg AUD/USD per exchange-rates.org) = $1,528 USD. 2026 YTD: A$968.28 x 0.6300 (conservative Jan-Apr 2026 avg; AUD started 2026 weak at 0.6678 on Jan 1, recovered later in year) = $610 USD.</t>
  </si>
  <si>
    <t xml:space="preserve">Walmart.com / Macy's (SG channels)</t>
  </si>
  <si>
    <t xml:space="preserve">2025 Social Gear entity revenue per tax filing. These channels run through Social Gear, not SPLT INC.</t>
  </si>
  <si>
    <t xml:space="preserve">TOTAL — SPLT INC Channels Only</t>
  </si>
  <si>
    <t xml:space="preserve">All figures in USD. Amazon AUS converted at period-average AUD/USD rates (2025: 0.6451; 2026 Q1: 0.6300). TikTok Shop pre-2026 not separately quantified.</t>
  </si>
  <si>
    <t xml:space="preserve">NEW CHANNELS DISCOVERED IN THIS DILIGENCE REVIEW (not in prior investor package):</t>
  </si>
  <si>
    <t xml:space="preserve">  • Best Buy (Mirakl) — live Dec 2025, $799 gross since launch</t>
  </si>
  <si>
    <t xml:space="preserve">  • Walmart.com (Mirakl) — live Dec 2025, $969 net since launch</t>
  </si>
  <si>
    <t xml:space="preserve">  • TikTok Shop — Dec 2025 - Mar 2026, $599 gross (statement confirmed)</t>
  </si>
  <si>
    <t xml:space="preserve">  • Amazon Singapore — 2025 $855 USD, growing in 2026</t>
  </si>
  <si>
    <t xml:space="preserve">  • Amazon Australia — 2025 A$2,369 converted to $1,528 USD (rate: 0.6451); 2026 YTD A$968 = $610 USD (rate: 0.6300)</t>
  </si>
  <si>
    <t xml:space="preserve">  • Kuwait international wire — $1,410.21 confirmed via NBK bank wire 11/11/2025</t>
  </si>
  <si>
    <t xml:space="preserve">  • Von Maur EDI — $7,200 single wholesale payment in Dec 2024 (Social Gear entity)</t>
  </si>
  <si>
    <t xml:space="preserve">REVENUE BY CUSTOMER — individually identifiable customers (all other revenue is anonymous marketplace/DTC volume)</t>
  </si>
  <si>
    <t xml:space="preserve">Customer</t>
  </si>
  <si>
    <t xml:space="preserve">Year</t>
  </si>
  <si>
    <t xml:space="preserve">Evidence</t>
  </si>
  <si>
    <t xml:space="preserve">2024</t>
  </si>
  <si>
    <t xml:space="preserve">Single EDI payment 12/10/24 — Social Gear entity</t>
  </si>
  <si>
    <t xml:space="preserve">Everything Kitchen Pty Ltd (Australia)</t>
  </si>
  <si>
    <t xml:space="preserve">2025</t>
  </si>
  <si>
    <t xml:space="preserve">Intl wire 2/24/25, National Australia Bank — WF stmt</t>
  </si>
  <si>
    <t xml:space="preserve">Chukwuezugo Nwosu (RELATED PARTY — product/service purchase)</t>
  </si>
  <si>
    <t xml:space="preserve">Wire 4/2/25 via Ally Bank. Needs invoice on file; confirm included in tax revenue</t>
  </si>
  <si>
    <t xml:space="preserve">Waen Inc. (Japan)</t>
  </si>
  <si>
    <t xml:space="preserve">Intl wire 6/6/25, Chiba Bank — WF stmt</t>
  </si>
  <si>
    <t xml:space="preserve">Citiesocial Co. Ltd (Taiwan)</t>
  </si>
  <si>
    <t xml:space="preserve">Intl wire 11/6/25, Cathay United Bank — WF stmt</t>
  </si>
  <si>
    <t xml:space="preserve">Fadi Ibrahim Mohammad Altayan (Kuwait distributor)</t>
  </si>
  <si>
    <t xml:space="preserve">Intl wire 11/12/25, National Bank of Kuwait — WF stmt</t>
  </si>
  <si>
    <t xml:space="preserve">2025 (Dec)</t>
  </si>
  <si>
    <t xml:space="preserve">Intl wire 12/11/25, Cathay United Bank — WF stmt (2nd order — repeat customer)</t>
  </si>
  <si>
    <t xml:space="preserve">All other revenue = anonymous end-consumers via Amazon (US/CA/MX/SG/AU), Shopify DTC, TikTok Shop, Best Buy, Walmart.com, Macys.com — no customer-level identity exists on these channels; channel = customer for reporting purposes.</t>
  </si>
</sst>
</file>

<file path=xl/styles.xml><?xml version="1.0" encoding="utf-8"?>
<styleSheet xmlns="http://schemas.openxmlformats.org/spreadsheetml/2006/main">
  <numFmts count="3">
    <numFmt numFmtId="164" formatCode="General"/>
    <numFmt numFmtId="165" formatCode="\$#,##0;&quot;($&quot;#,##0\)"/>
    <numFmt numFmtId="166" formatCode="0.0%"/>
  </numFmts>
  <fonts count="2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1"/>
      <name val="Arial"/>
      <family val="0"/>
      <charset val="1"/>
    </font>
    <font>
      <sz val="10"/>
      <name val="Arial"/>
      <family val="0"/>
      <charset val="1"/>
    </font>
    <font>
      <b val="true"/>
      <sz val="10.5"/>
      <name val="Arial"/>
      <family val="0"/>
      <charset val="1"/>
    </font>
    <font>
      <b val="true"/>
      <sz val="11"/>
      <name val="Cambria"/>
      <family val="0"/>
      <charset val="1"/>
    </font>
    <font>
      <b val="true"/>
      <sz val="14"/>
      <name val="Cambria"/>
      <family val="0"/>
      <charset val="1"/>
    </font>
    <font>
      <i val="true"/>
      <sz val="9"/>
      <color rgb="FF666666"/>
      <name val="Arial"/>
      <family val="0"/>
      <charset val="1"/>
    </font>
    <font>
      <b val="true"/>
      <sz val="11"/>
      <color rgb="FFFFFFFF"/>
      <name val="Arial"/>
      <family val="0"/>
      <charset val="1"/>
    </font>
    <font>
      <sz val="11"/>
      <name val="Arial"/>
      <family val="0"/>
      <charset val="1"/>
    </font>
    <font>
      <b val="true"/>
      <sz val="10"/>
      <color rgb="FF9C0006"/>
      <name val="Arial"/>
      <family val="0"/>
      <charset val="1"/>
    </font>
    <font>
      <i val="true"/>
      <sz val="11"/>
      <color rgb="FF9C0006"/>
      <name val="Arial"/>
      <family val="0"/>
      <charset val="1"/>
    </font>
    <font>
      <sz val="11"/>
      <color rgb="FF9C0006"/>
      <name val="Arial"/>
      <family val="0"/>
      <charset val="1"/>
    </font>
    <font>
      <sz val="11"/>
      <color rgb="FF0000FF"/>
      <name val="Cambria"/>
      <family val="0"/>
      <charset val="1"/>
    </font>
    <font>
      <b val="true"/>
      <sz val="13"/>
      <color rgb="FFCC0000"/>
      <name val="Cambria"/>
      <family val="0"/>
      <charset val="1"/>
    </font>
    <font>
      <b val="true"/>
      <sz val="12"/>
      <name val="Cambria"/>
      <family val="0"/>
      <charset val="1"/>
    </font>
    <font>
      <sz val="11"/>
      <color rgb="FF000000"/>
      <name val="Cambria"/>
      <family val="0"/>
      <charset val="1"/>
    </font>
    <font>
      <b val="true"/>
      <sz val="9"/>
      <color rgb="FF9C0006"/>
      <name val="Arial"/>
      <family val="0"/>
      <charset val="1"/>
    </font>
    <font>
      <b val="true"/>
      <sz val="11"/>
      <color rgb="FF1F4E78"/>
      <name val="Arial"/>
      <family val="0"/>
      <charset val="1"/>
    </font>
  </fonts>
  <fills count="8">
    <fill>
      <patternFill patternType="none"/>
    </fill>
    <fill>
      <patternFill patternType="gray125"/>
    </fill>
    <fill>
      <patternFill patternType="solid">
        <fgColor rgb="FFE2EFDA"/>
        <bgColor rgb="FFD9D9D9"/>
      </patternFill>
    </fill>
    <fill>
      <patternFill patternType="solid">
        <fgColor rgb="FFFFEB9C"/>
        <bgColor rgb="FFFFFFCC"/>
      </patternFill>
    </fill>
    <fill>
      <patternFill patternType="solid">
        <fgColor rgb="FFD9D9D9"/>
        <bgColor rgb="FFBDD7EE"/>
      </patternFill>
    </fill>
    <fill>
      <patternFill patternType="solid">
        <fgColor rgb="FFFFFF00"/>
        <bgColor rgb="FFFFFF00"/>
      </patternFill>
    </fill>
    <fill>
      <patternFill patternType="solid">
        <fgColor rgb="FF1F4E78"/>
        <bgColor rgb="FF003366"/>
      </patternFill>
    </fill>
    <fill>
      <patternFill patternType="solid">
        <fgColor rgb="FFBDD7EE"/>
        <bgColor rgb="FFD9D9D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5" fillId="3" borderId="0" xfId="0" applyFont="true" applyBorder="true" applyAlignment="tru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8" fillId="4" borderId="0" xfId="0" applyFont="true" applyBorder="false" applyAlignment="true" applyProtection="false">
      <alignment horizontal="general" vertical="bottom" textRotation="0" wrapText="false" indent="0" shrinkToFit="false"/>
      <protection locked="true" hidden="false"/>
    </xf>
    <xf numFmtId="164" fontId="0" fillId="5"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6" borderId="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5" fontId="5" fillId="7" borderId="1" xfId="0" applyFont="true" applyBorder="tru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general" vertical="bottom" textRotation="0" wrapText="false" indent="0" shrinkToFit="false"/>
      <protection locked="true" hidden="false"/>
    </xf>
    <xf numFmtId="164" fontId="5" fillId="7" borderId="0" xfId="0" applyFont="true" applyBorder="false" applyAlignment="true" applyProtection="false">
      <alignment horizontal="general" vertical="bottom" textRotation="0" wrapText="false" indent="0" shrinkToFit="false"/>
      <protection locked="true" hidden="false"/>
    </xf>
    <xf numFmtId="165" fontId="5" fillId="7"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4" fontId="11" fillId="6" borderId="1" xfId="0" applyFont="true" applyBorder="true" applyAlignment="true" applyProtection="false">
      <alignment horizontal="center" vertical="bottom" textRotation="0" wrapText="true" indent="0" shrinkToFit="false"/>
      <protection locked="true" hidden="false"/>
    </xf>
    <xf numFmtId="164" fontId="0" fillId="0" borderId="1" xfId="0" applyFont="true" applyBorder="tru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bottom" textRotation="0" wrapText="false" indent="0" shrinkToFit="false"/>
      <protection locked="true" hidden="false"/>
    </xf>
    <xf numFmtId="165" fontId="12" fillId="0"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bottom" textRotation="0" wrapText="true" indent="0" shrinkToFit="false"/>
      <protection locked="true" hidden="false"/>
    </xf>
    <xf numFmtId="164" fontId="8" fillId="7" borderId="1" xfId="0" applyFont="true" applyBorder="true" applyAlignment="tru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false" indent="0" shrinkToFit="false"/>
      <protection locked="true" hidden="false"/>
    </xf>
    <xf numFmtId="165" fontId="10" fillId="0" borderId="1" xfId="0" applyFont="true" applyBorder="true" applyAlignment="true" applyProtection="false">
      <alignment horizontal="general" vertical="bottom" textRotation="0" wrapText="false" indent="0" shrinkToFit="false"/>
      <protection locked="true" hidden="false"/>
    </xf>
    <xf numFmtId="164" fontId="14" fillId="3" borderId="1" xfId="0" applyFont="true" applyBorder="true" applyAlignment="true" applyProtection="false">
      <alignment horizontal="general" vertical="bottom" textRotation="0" wrapText="false" indent="0" shrinkToFit="false"/>
      <protection locked="true" hidden="false"/>
    </xf>
    <xf numFmtId="165" fontId="15" fillId="3" borderId="1" xfId="0" applyFont="true" applyBorder="true" applyAlignment="true" applyProtection="false">
      <alignment horizontal="general" vertical="bottom" textRotation="0" wrapText="false" indent="0" shrinkToFit="false"/>
      <protection locked="true" hidden="false"/>
    </xf>
    <xf numFmtId="165" fontId="0" fillId="3" borderId="1" xfId="0" applyFont="false" applyBorder="true" applyAlignment="true" applyProtection="false">
      <alignment horizontal="general" vertical="bottom" textRotation="0" wrapText="false" indent="0" shrinkToFit="false"/>
      <protection locked="true" hidden="false"/>
    </xf>
    <xf numFmtId="164" fontId="14" fillId="3" borderId="1" xfId="0" applyFont="true" applyBorder="true" applyAlignment="true" applyProtection="false">
      <alignment horizontal="general" vertical="top" textRotation="0" wrapText="true" indent="0" shrinkToFit="false"/>
      <protection locked="true" hidden="false"/>
    </xf>
    <xf numFmtId="166" fontId="5" fillId="7" borderId="0" xfId="0" applyFont="true" applyBorder="false" applyAlignment="true" applyProtection="false">
      <alignment horizontal="general" vertical="bottom" textRotation="0" wrapText="false" indent="0" shrinkToFit="false"/>
      <protection locked="true" hidden="false"/>
    </xf>
    <xf numFmtId="165" fontId="16" fillId="5" borderId="0" xfId="0" applyFont="true" applyBorder="false" applyAlignment="true" applyProtection="false">
      <alignment horizontal="general" vertical="bottom" textRotation="0" wrapText="false" indent="0" shrinkToFit="false"/>
      <protection locked="true" hidden="false"/>
    </xf>
    <xf numFmtId="166" fontId="16" fillId="5" borderId="0" xfId="0" applyFont="tru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general" vertical="bottom" textRotation="0" wrapText="false" indent="0" shrinkToFit="false"/>
      <protection locked="true" hidden="false"/>
    </xf>
    <xf numFmtId="164" fontId="16" fillId="5"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true" indent="0" shrinkToFit="false"/>
      <protection locked="true" hidden="false"/>
    </xf>
    <xf numFmtId="164" fontId="21" fillId="0"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C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E2EFDA"/>
      <rgbColor rgb="FFFFEB9C"/>
      <rgbColor rgb="FF99CCFF"/>
      <rgbColor rgb="FFFF99CC"/>
      <rgbColor rgb="FFCC99FF"/>
      <rgbColor rgb="FFD9D9D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8" min="2" style="1" width="14"/>
  </cols>
  <sheetData>
    <row r="1" customFormat="false" ht="17.25" hidden="false" customHeight="true" outlineLevel="0" collapsed="false">
      <c r="A1" s="2" t="s">
        <v>0</v>
      </c>
    </row>
    <row r="4" customFormat="false" ht="15" hidden="false" customHeight="true" outlineLevel="0" collapsed="false">
      <c r="A4" s="3" t="s">
        <v>1</v>
      </c>
      <c r="B4" s="3"/>
      <c r="C4" s="3"/>
      <c r="D4" s="3"/>
      <c r="E4" s="3"/>
      <c r="F4" s="3"/>
      <c r="G4" s="3"/>
      <c r="H4" s="3"/>
    </row>
    <row r="5" customFormat="false" ht="45" hidden="false" customHeight="true" outlineLevel="0" collapsed="false">
      <c r="A5" s="4" t="s">
        <v>2</v>
      </c>
      <c r="B5" s="4"/>
      <c r="C5" s="4"/>
      <c r="D5" s="4"/>
      <c r="E5" s="4"/>
      <c r="F5" s="4"/>
      <c r="G5" s="4"/>
      <c r="H5" s="4"/>
    </row>
    <row r="6" customFormat="false" ht="15" hidden="false" customHeight="true" outlineLevel="0" collapsed="false">
      <c r="A6" s="4"/>
      <c r="B6" s="4"/>
      <c r="C6" s="4"/>
      <c r="D6" s="4"/>
      <c r="E6" s="4"/>
      <c r="F6" s="4"/>
      <c r="G6" s="4"/>
      <c r="H6" s="4"/>
    </row>
    <row r="8" customFormat="false" ht="15" hidden="false" customHeight="true" outlineLevel="0" collapsed="false">
      <c r="A8" s="5" t="s">
        <v>3</v>
      </c>
      <c r="B8" s="5"/>
      <c r="C8" s="5"/>
      <c r="D8" s="5"/>
      <c r="E8" s="5"/>
      <c r="F8" s="5"/>
      <c r="G8" s="5"/>
      <c r="H8" s="5"/>
    </row>
    <row r="9" customFormat="false" ht="45" hidden="false" customHeight="true" outlineLevel="0" collapsed="false">
      <c r="A9" s="4" t="s">
        <v>4</v>
      </c>
      <c r="B9" s="4"/>
      <c r="C9" s="4"/>
      <c r="D9" s="4"/>
      <c r="E9" s="4"/>
      <c r="F9" s="4"/>
      <c r="G9" s="4"/>
      <c r="H9" s="4"/>
    </row>
    <row r="10" customFormat="false" ht="15" hidden="false" customHeight="true" outlineLevel="0" collapsed="false">
      <c r="A10" s="4"/>
      <c r="B10" s="4"/>
      <c r="C10" s="4"/>
      <c r="D10" s="4"/>
      <c r="E10" s="4"/>
      <c r="F10" s="4"/>
      <c r="G10" s="4"/>
      <c r="H10" s="4"/>
    </row>
    <row r="12" customFormat="false" ht="15" hidden="false" customHeight="true" outlineLevel="0" collapsed="false">
      <c r="A12" s="5" t="s">
        <v>5</v>
      </c>
      <c r="B12" s="5"/>
      <c r="C12" s="5"/>
      <c r="D12" s="5"/>
      <c r="E12" s="5"/>
      <c r="F12" s="5"/>
      <c r="G12" s="5"/>
      <c r="H12" s="5"/>
    </row>
    <row r="13" customFormat="false" ht="45" hidden="false" customHeight="true" outlineLevel="0" collapsed="false">
      <c r="A13" s="4" t="s">
        <v>6</v>
      </c>
      <c r="B13" s="4"/>
      <c r="C13" s="4"/>
      <c r="D13" s="4"/>
      <c r="E13" s="4"/>
      <c r="F13" s="4"/>
      <c r="G13" s="4"/>
      <c r="H13" s="4"/>
    </row>
    <row r="14" customFormat="false" ht="15" hidden="false" customHeight="true" outlineLevel="0" collapsed="false">
      <c r="A14" s="4"/>
      <c r="B14" s="4"/>
      <c r="C14" s="4"/>
      <c r="D14" s="4"/>
      <c r="E14" s="4"/>
      <c r="F14" s="4"/>
      <c r="G14" s="4"/>
      <c r="H14" s="4"/>
    </row>
    <row r="16" customFormat="false" ht="15" hidden="false" customHeight="true" outlineLevel="0" collapsed="false">
      <c r="A16" s="5" t="s">
        <v>7</v>
      </c>
      <c r="B16" s="5"/>
      <c r="C16" s="5"/>
      <c r="D16" s="5"/>
      <c r="E16" s="5"/>
      <c r="F16" s="5"/>
      <c r="G16" s="5"/>
      <c r="H16" s="5"/>
    </row>
    <row r="17" customFormat="false" ht="45" hidden="false" customHeight="true" outlineLevel="0" collapsed="false">
      <c r="A17" s="4" t="s">
        <v>8</v>
      </c>
      <c r="B17" s="4"/>
      <c r="C17" s="4"/>
      <c r="D17" s="4"/>
      <c r="E17" s="4"/>
      <c r="F17" s="4"/>
      <c r="G17" s="4"/>
      <c r="H17" s="4"/>
    </row>
    <row r="18" customFormat="false" ht="15" hidden="false" customHeight="true" outlineLevel="0" collapsed="false">
      <c r="A18" s="4"/>
      <c r="B18" s="4"/>
      <c r="C18" s="4"/>
      <c r="D18" s="4"/>
      <c r="E18" s="4"/>
      <c r="F18" s="4"/>
      <c r="G18" s="4"/>
      <c r="H18" s="4"/>
    </row>
    <row r="20" customFormat="false" ht="15" hidden="false" customHeight="true" outlineLevel="0" collapsed="false">
      <c r="A20" s="5" t="s">
        <v>9</v>
      </c>
      <c r="B20" s="5"/>
      <c r="C20" s="5"/>
      <c r="D20" s="5"/>
      <c r="E20" s="5"/>
      <c r="F20" s="5"/>
      <c r="G20" s="5"/>
      <c r="H20" s="5"/>
    </row>
    <row r="21" customFormat="false" ht="45" hidden="false" customHeight="true" outlineLevel="0" collapsed="false">
      <c r="A21" s="4" t="s">
        <v>10</v>
      </c>
      <c r="B21" s="4"/>
      <c r="C21" s="4"/>
      <c r="D21" s="4"/>
      <c r="E21" s="4"/>
      <c r="F21" s="4"/>
      <c r="G21" s="4"/>
      <c r="H21" s="4"/>
    </row>
    <row r="22" customFormat="false" ht="15" hidden="false" customHeight="true" outlineLevel="0" collapsed="false">
      <c r="A22" s="4"/>
      <c r="B22" s="4"/>
      <c r="C22" s="4"/>
      <c r="D22" s="4"/>
      <c r="E22" s="4"/>
      <c r="F22" s="4"/>
      <c r="G22" s="4"/>
      <c r="H22" s="4"/>
    </row>
    <row r="24" customFormat="false" ht="15" hidden="false" customHeight="true" outlineLevel="0" collapsed="false">
      <c r="A24" s="5" t="s">
        <v>11</v>
      </c>
      <c r="B24" s="5"/>
      <c r="C24" s="5"/>
      <c r="D24" s="5"/>
      <c r="E24" s="5"/>
      <c r="F24" s="5"/>
      <c r="G24" s="5"/>
      <c r="H24" s="5"/>
    </row>
    <row r="25" customFormat="false" ht="45" hidden="false" customHeight="true" outlineLevel="0" collapsed="false">
      <c r="A25" s="4" t="s">
        <v>12</v>
      </c>
      <c r="B25" s="4"/>
      <c r="C25" s="4"/>
      <c r="D25" s="4"/>
      <c r="E25" s="4"/>
      <c r="F25" s="4"/>
      <c r="G25" s="4"/>
      <c r="H25" s="4"/>
    </row>
    <row r="26" customFormat="false" ht="15" hidden="false" customHeight="true" outlineLevel="0" collapsed="false">
      <c r="A26" s="4"/>
      <c r="B26" s="4"/>
      <c r="C26" s="4"/>
      <c r="D26" s="4"/>
      <c r="E26" s="4"/>
      <c r="F26" s="4"/>
      <c r="G26" s="4"/>
      <c r="H26" s="4"/>
    </row>
    <row r="28" customFormat="false" ht="15" hidden="false" customHeight="true" outlineLevel="0" collapsed="false">
      <c r="A28" s="6" t="s">
        <v>13</v>
      </c>
      <c r="B28" s="6"/>
      <c r="C28" s="6"/>
      <c r="D28" s="6"/>
      <c r="E28" s="6"/>
      <c r="F28" s="6"/>
      <c r="G28" s="6"/>
      <c r="H28" s="6"/>
    </row>
    <row r="29" customFormat="false" ht="69.75" hidden="false" customHeight="true" outlineLevel="0" collapsed="false">
      <c r="A29" s="4" t="s">
        <v>14</v>
      </c>
      <c r="B29" s="4"/>
      <c r="C29" s="4"/>
      <c r="D29" s="4"/>
      <c r="E29" s="4"/>
      <c r="F29" s="4"/>
      <c r="G29" s="4"/>
      <c r="H29" s="4"/>
    </row>
    <row r="30" customFormat="false" ht="15" hidden="false" customHeight="true" outlineLevel="0" collapsed="false">
      <c r="A30" s="4"/>
      <c r="B30" s="4"/>
      <c r="C30" s="4"/>
      <c r="D30" s="4"/>
      <c r="E30" s="4"/>
      <c r="F30" s="4"/>
      <c r="G30" s="4"/>
      <c r="H30" s="4"/>
    </row>
    <row r="31" customFormat="false" ht="15" hidden="false" customHeight="true" outlineLevel="0" collapsed="false">
      <c r="A31" s="4"/>
      <c r="B31" s="4"/>
      <c r="C31" s="4"/>
      <c r="D31" s="4"/>
      <c r="E31" s="4"/>
      <c r="F31" s="4"/>
      <c r="G31" s="4"/>
      <c r="H31" s="4"/>
    </row>
    <row r="33" customFormat="false" ht="15" hidden="false" customHeight="true" outlineLevel="0" collapsed="false">
      <c r="A33" s="7" t="s">
        <v>15</v>
      </c>
    </row>
    <row r="34" customFormat="false" ht="109.5" hidden="false" customHeight="true" outlineLevel="0" collapsed="false">
      <c r="A34" s="8" t="s">
        <v>16</v>
      </c>
    </row>
    <row r="36" customFormat="false" ht="15" hidden="false" customHeight="true" outlineLevel="0" collapsed="false">
      <c r="A36" s="7" t="s">
        <v>17</v>
      </c>
    </row>
    <row r="37" customFormat="false" ht="109.5" hidden="false" customHeight="true" outlineLevel="0" collapsed="false">
      <c r="A37" s="8" t="s">
        <v>18</v>
      </c>
    </row>
    <row r="39" customFormat="false" ht="15" hidden="false" customHeight="true" outlineLevel="0" collapsed="false">
      <c r="A39" s="7" t="s">
        <v>19</v>
      </c>
    </row>
    <row r="40" customFormat="false" ht="109.5" hidden="false" customHeight="true" outlineLevel="0" collapsed="false">
      <c r="A40" s="8" t="s">
        <v>20</v>
      </c>
    </row>
    <row r="42" customFormat="false" ht="15" hidden="false" customHeight="true" outlineLevel="0" collapsed="false">
      <c r="A42" s="7" t="s">
        <v>21</v>
      </c>
    </row>
    <row r="43" customFormat="false" ht="129.75" hidden="false" customHeight="true" outlineLevel="0" collapsed="false">
      <c r="A43" s="8" t="s">
        <v>22</v>
      </c>
    </row>
    <row r="45" customFormat="false" ht="15" hidden="false" customHeight="true" outlineLevel="0" collapsed="false">
      <c r="A45" s="7" t="s">
        <v>23</v>
      </c>
    </row>
    <row r="46" customFormat="false" ht="109.5" hidden="false" customHeight="true" outlineLevel="0" collapsed="false">
      <c r="A46" s="8" t="s">
        <v>24</v>
      </c>
    </row>
    <row r="48" customFormat="false" ht="15" hidden="false" customHeight="true" outlineLevel="0" collapsed="false">
      <c r="A48" s="7" t="s">
        <v>25</v>
      </c>
    </row>
    <row r="49" customFormat="false" ht="129.75" hidden="false" customHeight="true" outlineLevel="0" collapsed="false">
      <c r="A49" s="8" t="s">
        <v>26</v>
      </c>
    </row>
    <row r="51" customFormat="false" ht="15" hidden="false" customHeight="false" outlineLevel="0" collapsed="false">
      <c r="A51" s="9" t="s">
        <v>27</v>
      </c>
    </row>
    <row r="52" customFormat="false" ht="109.5" hidden="false" customHeight="true" outlineLevel="0" collapsed="false">
      <c r="A52" s="8" t="s">
        <v>28</v>
      </c>
    </row>
  </sheetData>
  <mergeCells count="14">
    <mergeCell ref="A4:H4"/>
    <mergeCell ref="A5:H6"/>
    <mergeCell ref="A8:H8"/>
    <mergeCell ref="A9:H10"/>
    <mergeCell ref="A12:H12"/>
    <mergeCell ref="A13:H14"/>
    <mergeCell ref="A16:H16"/>
    <mergeCell ref="A17:H18"/>
    <mergeCell ref="A20:H20"/>
    <mergeCell ref="A21:H22"/>
    <mergeCell ref="A24:H24"/>
    <mergeCell ref="A25:H26"/>
    <mergeCell ref="A28:H28"/>
    <mergeCell ref="A29:H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46"/>
    <col collapsed="false" customWidth="true" hidden="false" outlineLevel="0" max="3" min="3" style="1" width="24"/>
    <col collapsed="false" customWidth="true" hidden="false" outlineLevel="0" max="4" min="4" style="1" width="14"/>
    <col collapsed="false" customWidth="true" hidden="false" outlineLevel="0" max="5" min="5" style="1" width="60"/>
  </cols>
  <sheetData>
    <row r="1" customFormat="false" ht="17.25" hidden="false" customHeight="true" outlineLevel="0" collapsed="false">
      <c r="A1" s="10" t="s">
        <v>29</v>
      </c>
    </row>
    <row r="2" customFormat="false" ht="39.75" hidden="false" customHeight="true" outlineLevel="0" collapsed="false">
      <c r="A2" s="8" t="s">
        <v>30</v>
      </c>
    </row>
    <row r="4" customFormat="false" ht="15" hidden="false" customHeight="true" outlineLevel="0" collapsed="false">
      <c r="A4" s="11" t="s">
        <v>31</v>
      </c>
      <c r="B4" s="11" t="s">
        <v>32</v>
      </c>
      <c r="C4" s="11" t="s">
        <v>33</v>
      </c>
      <c r="D4" s="11" t="s">
        <v>34</v>
      </c>
      <c r="E4" s="11" t="s">
        <v>35</v>
      </c>
    </row>
    <row r="5" customFormat="false" ht="45.75" hidden="false" customHeight="true" outlineLevel="0" collapsed="false">
      <c r="A5" s="8" t="s">
        <v>36</v>
      </c>
      <c r="B5" s="8" t="s">
        <v>37</v>
      </c>
      <c r="C5" s="8" t="s">
        <v>38</v>
      </c>
      <c r="D5" s="8" t="n">
        <v>1300</v>
      </c>
      <c r="E5" s="8" t="s">
        <v>39</v>
      </c>
    </row>
    <row r="6" customFormat="false" ht="45.75" hidden="false" customHeight="true" outlineLevel="0" collapsed="false">
      <c r="A6" s="8" t="s">
        <v>40</v>
      </c>
      <c r="B6" s="8" t="s">
        <v>37</v>
      </c>
      <c r="C6" s="8" t="s">
        <v>38</v>
      </c>
      <c r="D6" s="8" t="n">
        <v>300</v>
      </c>
      <c r="E6" s="8" t="s">
        <v>41</v>
      </c>
    </row>
    <row r="7" customFormat="false" ht="45.75" hidden="false" customHeight="true" outlineLevel="0" collapsed="false">
      <c r="A7" s="8" t="s">
        <v>42</v>
      </c>
      <c r="B7" s="8" t="s">
        <v>43</v>
      </c>
      <c r="C7" s="8" t="s">
        <v>44</v>
      </c>
      <c r="D7" s="8" t="n">
        <v>245</v>
      </c>
      <c r="E7" s="8" t="s">
        <v>45</v>
      </c>
    </row>
    <row r="8" customFormat="false" ht="45.75" hidden="false" customHeight="true" outlineLevel="0" collapsed="false">
      <c r="A8" s="8" t="s">
        <v>46</v>
      </c>
      <c r="B8" s="8" t="s">
        <v>47</v>
      </c>
      <c r="C8" s="8" t="s">
        <v>48</v>
      </c>
      <c r="D8" s="8" t="s">
        <v>49</v>
      </c>
      <c r="E8" s="8" t="s">
        <v>50</v>
      </c>
    </row>
    <row r="9" customFormat="false" ht="96" hidden="false" customHeight="true" outlineLevel="0" collapsed="false">
      <c r="A9" s="8" t="s">
        <v>51</v>
      </c>
      <c r="B9" s="8" t="s">
        <v>52</v>
      </c>
      <c r="C9" s="8" t="s">
        <v>53</v>
      </c>
      <c r="D9" s="8" t="n">
        <v>3266.67</v>
      </c>
      <c r="E9" s="8" t="s">
        <v>54</v>
      </c>
    </row>
    <row r="10" customFormat="false" ht="60" hidden="false" customHeight="true" outlineLevel="0" collapsed="false">
      <c r="A10" s="8" t="s">
        <v>55</v>
      </c>
      <c r="B10" s="8" t="s">
        <v>56</v>
      </c>
      <c r="C10" s="8" t="s">
        <v>57</v>
      </c>
      <c r="D10" s="8" t="n">
        <v>3705</v>
      </c>
      <c r="E10" s="8" t="s">
        <v>58</v>
      </c>
    </row>
    <row r="11" customFormat="false" ht="15" hidden="false" customHeight="true" outlineLevel="0" collapsed="false">
      <c r="A11" s="7" t="s">
        <v>59</v>
      </c>
      <c r="D11" s="7" t="n">
        <f aca="false">D5+D6+D7+D10</f>
        <v>5550</v>
      </c>
    </row>
    <row r="12" customFormat="false" ht="78" hidden="false" customHeight="true" outlineLevel="0" collapsed="false"/>
    <row r="13" customFormat="false" ht="78" hidden="false" customHeight="true" outlineLevel="0" collapsed="false">
      <c r="A13" s="8" t="s">
        <v>60</v>
      </c>
    </row>
    <row r="14" customFormat="false" ht="444.75" hidden="false" customHeight="true" outlineLevel="0" collapsed="false">
      <c r="A14" s="8" t="s">
        <v>61</v>
      </c>
    </row>
    <row r="15" customFormat="false" ht="15" hidden="false" customHeight="true" outlineLevel="0" collapsed="false"/>
    <row r="16" customFormat="false" ht="78" hidden="false" customHeight="true" outlineLevel="0" collapsed="false">
      <c r="A16" s="11" t="s">
        <v>62</v>
      </c>
    </row>
    <row r="17" customFormat="false" ht="78" hidden="false" customHeight="true" outlineLevel="0" collapsed="false">
      <c r="A17" s="8" t="s">
        <v>63</v>
      </c>
      <c r="B17" s="8" t="s">
        <v>64</v>
      </c>
      <c r="C17" s="8" t="s">
        <v>65</v>
      </c>
      <c r="D17" s="8" t="s">
        <v>66</v>
      </c>
      <c r="E17" s="8" t="s">
        <v>67</v>
      </c>
    </row>
    <row r="18" customFormat="false" ht="78" hidden="false" customHeight="true" outlineLevel="0" collapsed="false">
      <c r="A18" s="8" t="s">
        <v>68</v>
      </c>
      <c r="B18" s="8" t="s">
        <v>69</v>
      </c>
      <c r="C18" s="8" t="s">
        <v>70</v>
      </c>
      <c r="D18" s="8" t="n">
        <v>30000</v>
      </c>
      <c r="E18" s="8" t="s">
        <v>71</v>
      </c>
    </row>
    <row r="19" customFormat="false" ht="27.75" hidden="false" customHeight="true" outlineLevel="0" collapsed="false">
      <c r="A19" s="8" t="s">
        <v>72</v>
      </c>
      <c r="B19" s="8" t="s">
        <v>73</v>
      </c>
      <c r="C19" s="8" t="s">
        <v>74</v>
      </c>
      <c r="D19" s="8" t="s">
        <v>75</v>
      </c>
      <c r="E19" s="8" t="s">
        <v>76</v>
      </c>
    </row>
    <row r="20" customFormat="false" ht="78" hidden="false" customHeight="true" outlineLevel="0" collapsed="false"/>
    <row r="21" customFormat="false" ht="390.75" hidden="false" customHeight="true" outlineLevel="0" collapsed="false">
      <c r="A21" s="8" t="s">
        <v>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2" min="2" style="1" width="14"/>
    <col collapsed="false" customWidth="true" hidden="false" outlineLevel="0" max="3" min="3" style="1" width="16"/>
    <col collapsed="false" customWidth="true" hidden="false" outlineLevel="0" max="4" min="4" style="1" width="44"/>
    <col collapsed="false" customWidth="true" hidden="false" outlineLevel="0" max="5" min="5" style="1" width="26"/>
    <col collapsed="false" customWidth="true" hidden="false" outlineLevel="0" max="6" min="6" style="1" width="40"/>
  </cols>
  <sheetData>
    <row r="1" customFormat="false" ht="17.25" hidden="false" customHeight="true" outlineLevel="0" collapsed="false">
      <c r="A1" s="10" t="s">
        <v>78</v>
      </c>
    </row>
    <row r="2" customFormat="false" ht="66" hidden="false" customHeight="true" outlineLevel="0" collapsed="false">
      <c r="A2" s="8" t="s">
        <v>79</v>
      </c>
    </row>
    <row r="4" customFormat="false" ht="15" hidden="false" customHeight="true" outlineLevel="0" collapsed="false">
      <c r="A4" s="11" t="s">
        <v>80</v>
      </c>
      <c r="B4" s="11" t="s">
        <v>81</v>
      </c>
      <c r="C4" s="11" t="s">
        <v>82</v>
      </c>
      <c r="D4" s="11" t="s">
        <v>83</v>
      </c>
      <c r="E4" s="11" t="s">
        <v>84</v>
      </c>
      <c r="F4" s="11" t="s">
        <v>85</v>
      </c>
    </row>
    <row r="5" customFormat="false" ht="96" hidden="false" customHeight="true" outlineLevel="0" collapsed="false">
      <c r="A5" s="12" t="s">
        <v>86</v>
      </c>
      <c r="B5" s="8" t="s">
        <v>87</v>
      </c>
      <c r="C5" s="12" t="s">
        <v>88</v>
      </c>
      <c r="D5" s="8" t="s">
        <v>89</v>
      </c>
      <c r="E5" s="8" t="s">
        <v>90</v>
      </c>
      <c r="F5" s="12" t="s">
        <v>91</v>
      </c>
    </row>
    <row r="6" customFormat="false" ht="63.75" hidden="false" customHeight="true" outlineLevel="0" collapsed="false">
      <c r="A6" s="12" t="s">
        <v>92</v>
      </c>
      <c r="B6" s="8" t="s">
        <v>93</v>
      </c>
      <c r="C6" s="12"/>
      <c r="D6" s="8"/>
      <c r="E6" s="8" t="s">
        <v>94</v>
      </c>
      <c r="F6" s="12"/>
    </row>
    <row r="7" customFormat="false" ht="63.75" hidden="false" customHeight="true" outlineLevel="0" collapsed="false">
      <c r="A7" s="12" t="s">
        <v>95</v>
      </c>
      <c r="B7" s="8" t="s">
        <v>96</v>
      </c>
      <c r="C7" s="12"/>
      <c r="D7" s="8" t="s">
        <v>97</v>
      </c>
      <c r="E7" s="8" t="s">
        <v>98</v>
      </c>
      <c r="F7" s="12"/>
    </row>
    <row r="8" customFormat="false" ht="63.75" hidden="false" customHeight="true" outlineLevel="0" collapsed="false">
      <c r="A8" s="12" t="s">
        <v>99</v>
      </c>
      <c r="B8" s="8" t="s">
        <v>100</v>
      </c>
      <c r="C8" s="12"/>
      <c r="D8" s="8" t="s">
        <v>101</v>
      </c>
      <c r="E8" s="8" t="s">
        <v>102</v>
      </c>
      <c r="F8" s="12"/>
    </row>
    <row r="9" customFormat="false" ht="63.75" hidden="false" customHeight="true" outlineLevel="0" collapsed="false">
      <c r="A9" s="12" t="s">
        <v>103</v>
      </c>
      <c r="B9" s="8" t="s">
        <v>104</v>
      </c>
      <c r="C9" s="12"/>
      <c r="D9" s="8" t="s">
        <v>105</v>
      </c>
      <c r="E9" s="8" t="s">
        <v>106</v>
      </c>
      <c r="F9" s="12"/>
    </row>
    <row r="10" customFormat="false" ht="63.75" hidden="false" customHeight="true" outlineLevel="0" collapsed="false">
      <c r="A10" s="12" t="s">
        <v>107</v>
      </c>
      <c r="B10" s="8" t="s">
        <v>108</v>
      </c>
      <c r="C10" s="12"/>
      <c r="D10" s="8" t="s">
        <v>109</v>
      </c>
      <c r="E10" s="8" t="s">
        <v>110</v>
      </c>
      <c r="F10" s="12"/>
    </row>
    <row r="12" customFormat="false" ht="55.5" hidden="false" customHeight="true" outlineLevel="0" collapsed="false">
      <c r="A12" s="8" t="s">
        <v>111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5" min="2" style="1" width="18"/>
  </cols>
  <sheetData>
    <row r="1" customFormat="false" ht="17.25" hidden="false" customHeight="true" outlineLevel="0" collapsed="false">
      <c r="A1" s="2" t="s">
        <v>112</v>
      </c>
    </row>
    <row r="2" customFormat="false" ht="15" hidden="false" customHeight="true" outlineLevel="0" collapsed="false">
      <c r="A2" s="13" t="s">
        <v>113</v>
      </c>
    </row>
    <row r="4" customFormat="false" ht="39" hidden="false" customHeight="true" outlineLevel="0" collapsed="false">
      <c r="A4" s="14" t="s">
        <v>81</v>
      </c>
      <c r="B4" s="14" t="s">
        <v>114</v>
      </c>
      <c r="C4" s="14" t="s">
        <v>115</v>
      </c>
      <c r="D4" s="14" t="s">
        <v>116</v>
      </c>
      <c r="E4" s="14" t="s">
        <v>117</v>
      </c>
    </row>
    <row r="5" customFormat="false" ht="15" hidden="false" customHeight="true" outlineLevel="0" collapsed="false">
      <c r="A5" s="15" t="s">
        <v>118</v>
      </c>
      <c r="B5" s="16" t="n">
        <v>418990</v>
      </c>
      <c r="C5" s="16" t="n">
        <v>369980.87</v>
      </c>
      <c r="D5" s="16" t="n">
        <v>130976.23</v>
      </c>
      <c r="E5" s="16" t="n">
        <f aca="false">C5+D5</f>
        <v>500957.1</v>
      </c>
    </row>
    <row r="6" customFormat="false" ht="15" hidden="false" customHeight="true" outlineLevel="0" collapsed="false">
      <c r="A6" s="17" t="s">
        <v>119</v>
      </c>
      <c r="B6" s="18" t="n">
        <v>119455</v>
      </c>
      <c r="C6" s="18" t="n">
        <v>225431.76</v>
      </c>
      <c r="D6" s="18" t="n">
        <v>215.4</v>
      </c>
      <c r="E6" s="18" t="n">
        <f aca="false">C6+D6</f>
        <v>225647.16</v>
      </c>
    </row>
    <row r="7" customFormat="false" ht="15" hidden="false" customHeight="true" outlineLevel="0" collapsed="false">
      <c r="A7" s="17" t="s">
        <v>120</v>
      </c>
      <c r="B7" s="18" t="n">
        <v>22841</v>
      </c>
      <c r="C7" s="18" t="n">
        <v>0</v>
      </c>
      <c r="D7" s="18" t="n">
        <v>0</v>
      </c>
      <c r="E7" s="18" t="n">
        <f aca="false">C7+D7</f>
        <v>0</v>
      </c>
    </row>
    <row r="8" customFormat="false" ht="15" hidden="false" customHeight="true" outlineLevel="0" collapsed="false">
      <c r="A8" s="17" t="s">
        <v>121</v>
      </c>
      <c r="B8" s="18" t="n">
        <v>15340</v>
      </c>
      <c r="C8" s="18" t="n">
        <v>0</v>
      </c>
      <c r="D8" s="18" t="n">
        <v>0</v>
      </c>
      <c r="E8" s="18" t="n">
        <f aca="false">C8+D8</f>
        <v>0</v>
      </c>
    </row>
    <row r="9" customFormat="false" ht="15" hidden="false" customHeight="true" outlineLevel="0" collapsed="false">
      <c r="A9" s="17" t="s">
        <v>122</v>
      </c>
      <c r="B9" s="18" t="n">
        <v>7740</v>
      </c>
      <c r="C9" s="18" t="n">
        <v>0</v>
      </c>
      <c r="D9" s="18" t="n">
        <v>0</v>
      </c>
      <c r="E9" s="18" t="n">
        <f aca="false">C9+D9</f>
        <v>0</v>
      </c>
    </row>
    <row r="10" customFormat="false" ht="15" hidden="false" customHeight="true" outlineLevel="0" collapsed="false">
      <c r="A10" s="17" t="s">
        <v>123</v>
      </c>
      <c r="B10" s="18" t="n">
        <v>0</v>
      </c>
      <c r="C10" s="18" t="n">
        <v>1796.69</v>
      </c>
      <c r="D10" s="18" t="n">
        <v>3007.12</v>
      </c>
      <c r="E10" s="18" t="n">
        <f aca="false">C10+D10</f>
        <v>4803.81</v>
      </c>
    </row>
    <row r="11" customFormat="false" ht="15" hidden="false" customHeight="true" outlineLevel="0" collapsed="false">
      <c r="A11" s="17" t="s">
        <v>124</v>
      </c>
      <c r="B11" s="18" t="n">
        <v>9528</v>
      </c>
      <c r="C11" s="18" t="n">
        <v>0</v>
      </c>
      <c r="D11" s="18" t="n">
        <v>0</v>
      </c>
      <c r="E11" s="18" t="n">
        <f aca="false">C11+D11</f>
        <v>0</v>
      </c>
    </row>
    <row r="12" customFormat="false" ht="15" hidden="false" customHeight="true" outlineLevel="0" collapsed="false">
      <c r="A12" s="17" t="s">
        <v>125</v>
      </c>
      <c r="B12" s="18" t="n">
        <v>18913</v>
      </c>
      <c r="C12" s="18" t="n">
        <v>2538</v>
      </c>
      <c r="D12" s="18" t="n">
        <v>735</v>
      </c>
      <c r="E12" s="18" t="n">
        <f aca="false">C12+D12</f>
        <v>3273</v>
      </c>
    </row>
    <row r="13" customFormat="false" ht="15" hidden="false" customHeight="true" outlineLevel="0" collapsed="false">
      <c r="A13" s="17" t="s">
        <v>126</v>
      </c>
      <c r="B13" s="18" t="n">
        <v>150577</v>
      </c>
      <c r="C13" s="18" t="n">
        <v>105777.57</v>
      </c>
      <c r="D13" s="18" t="n">
        <v>8873.49</v>
      </c>
      <c r="E13" s="18" t="n">
        <f aca="false">C13+D13</f>
        <v>114651.06</v>
      </c>
    </row>
    <row r="14" customFormat="false" ht="15" hidden="false" customHeight="true" outlineLevel="0" collapsed="false">
      <c r="A14" s="17" t="s">
        <v>127</v>
      </c>
      <c r="B14" s="18" t="n">
        <v>5919</v>
      </c>
      <c r="C14" s="18" t="n">
        <v>0</v>
      </c>
      <c r="D14" s="18" t="n">
        <v>0</v>
      </c>
      <c r="E14" s="18" t="n">
        <f aca="false">C14+D14</f>
        <v>0</v>
      </c>
    </row>
    <row r="15" customFormat="false" ht="15" hidden="false" customHeight="true" outlineLevel="0" collapsed="false">
      <c r="A15" s="17" t="s">
        <v>128</v>
      </c>
      <c r="B15" s="18" t="n">
        <v>31985</v>
      </c>
      <c r="C15" s="18" t="n">
        <v>4040.4</v>
      </c>
      <c r="D15" s="18" t="n">
        <v>1352.75</v>
      </c>
      <c r="E15" s="18" t="n">
        <f aca="false">C15+D15</f>
        <v>5393.15</v>
      </c>
    </row>
    <row r="16" customFormat="false" ht="15" hidden="false" customHeight="true" outlineLevel="0" collapsed="false">
      <c r="A16" s="17" t="s">
        <v>129</v>
      </c>
      <c r="B16" s="18" t="n">
        <v>6901</v>
      </c>
      <c r="C16" s="18" t="n">
        <v>515.28</v>
      </c>
      <c r="D16" s="18" t="n">
        <v>104441.31</v>
      </c>
      <c r="E16" s="18" t="n">
        <f aca="false">C16+D16</f>
        <v>104956.59</v>
      </c>
    </row>
    <row r="17" customFormat="false" ht="15" hidden="false" customHeight="true" outlineLevel="0" collapsed="false">
      <c r="A17" s="17" t="s">
        <v>130</v>
      </c>
      <c r="B17" s="18" t="n">
        <v>22500</v>
      </c>
      <c r="C17" s="18" t="n">
        <v>19700</v>
      </c>
      <c r="D17" s="18" t="n">
        <v>17500</v>
      </c>
      <c r="E17" s="18" t="n">
        <f aca="false">C17+D17</f>
        <v>37200</v>
      </c>
    </row>
    <row r="18" customFormat="false" ht="15" hidden="false" customHeight="true" outlineLevel="0" collapsed="false">
      <c r="A18" s="17" t="s">
        <v>131</v>
      </c>
      <c r="B18" s="18" t="n">
        <v>4124</v>
      </c>
      <c r="C18" s="18" t="n">
        <v>330.78</v>
      </c>
      <c r="D18" s="18" t="n">
        <v>1519.9</v>
      </c>
      <c r="E18" s="18" t="n">
        <f aca="false">C18+D18</f>
        <v>1850.68</v>
      </c>
    </row>
    <row r="19" customFormat="false" ht="15" hidden="false" customHeight="true" outlineLevel="0" collapsed="false">
      <c r="A19" s="17" t="s">
        <v>132</v>
      </c>
      <c r="B19" s="18" t="n">
        <v>0</v>
      </c>
      <c r="C19" s="18" t="n">
        <v>0</v>
      </c>
      <c r="D19" s="18" t="n">
        <v>230.68</v>
      </c>
      <c r="E19" s="18" t="n">
        <f aca="false">C19+D19</f>
        <v>230.68</v>
      </c>
    </row>
    <row r="20" customFormat="false" ht="15" hidden="false" customHeight="true" outlineLevel="0" collapsed="false">
      <c r="A20" s="17" t="s">
        <v>133</v>
      </c>
      <c r="B20" s="18" t="n">
        <v>518</v>
      </c>
      <c r="C20" s="18" t="n">
        <v>0</v>
      </c>
      <c r="D20" s="18" t="n">
        <v>0</v>
      </c>
      <c r="E20" s="18" t="n">
        <f aca="false">C20+D20</f>
        <v>0</v>
      </c>
    </row>
    <row r="21" customFormat="false" ht="15" hidden="false" customHeight="true" outlineLevel="0" collapsed="false">
      <c r="A21" s="15" t="s">
        <v>134</v>
      </c>
      <c r="B21" s="16" t="n">
        <v>416342</v>
      </c>
      <c r="C21" s="16" t="n">
        <v>360130.48</v>
      </c>
      <c r="D21" s="16" t="n">
        <v>137875.65</v>
      </c>
      <c r="E21" s="16" t="n">
        <f aca="false">C21+D21</f>
        <v>498006.13</v>
      </c>
    </row>
    <row r="22" customFormat="false" ht="15" hidden="false" customHeight="true" outlineLevel="0" collapsed="false">
      <c r="A22" s="15" t="s">
        <v>135</v>
      </c>
      <c r="B22" s="16" t="n">
        <v>2648</v>
      </c>
      <c r="C22" s="16" t="n">
        <v>9850.39</v>
      </c>
      <c r="D22" s="16" t="n">
        <v>-6899.42</v>
      </c>
      <c r="E22" s="16" t="n">
        <f aca="false">C22+D22</f>
        <v>2950.97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14" min="2" style="1" width="11"/>
  </cols>
  <sheetData>
    <row r="1" customFormat="false" ht="17.25" hidden="false" customHeight="true" outlineLevel="0" collapsed="false">
      <c r="A1" s="2" t="s">
        <v>136</v>
      </c>
    </row>
    <row r="2" customFormat="false" ht="15" hidden="false" customHeight="true" outlineLevel="0" collapsed="false">
      <c r="A2" s="13" t="s">
        <v>137</v>
      </c>
    </row>
    <row r="4" customFormat="false" ht="26.25" hidden="false" customHeight="true" outlineLevel="0" collapsed="false">
      <c r="A4" s="14" t="s">
        <v>138</v>
      </c>
      <c r="B4" s="14" t="s">
        <v>139</v>
      </c>
      <c r="C4" s="14" t="s">
        <v>140</v>
      </c>
      <c r="D4" s="14" t="s">
        <v>141</v>
      </c>
      <c r="E4" s="14" t="s">
        <v>142</v>
      </c>
      <c r="F4" s="14" t="s">
        <v>143</v>
      </c>
      <c r="G4" s="14" t="s">
        <v>144</v>
      </c>
      <c r="H4" s="14" t="s">
        <v>145</v>
      </c>
      <c r="I4" s="14" t="s">
        <v>146</v>
      </c>
      <c r="J4" s="14" t="s">
        <v>147</v>
      </c>
      <c r="K4" s="14" t="s">
        <v>148</v>
      </c>
      <c r="L4" s="14" t="s">
        <v>149</v>
      </c>
      <c r="M4" s="14" t="s">
        <v>150</v>
      </c>
      <c r="N4" s="14" t="s">
        <v>151</v>
      </c>
    </row>
    <row r="5" customFormat="false" ht="15" hidden="false" customHeight="true" outlineLevel="0" collapsed="false">
      <c r="A5" s="19" t="s">
        <v>87</v>
      </c>
      <c r="B5" s="18" t="n">
        <v>18589.07</v>
      </c>
      <c r="C5" s="18" t="n">
        <v>26923.71</v>
      </c>
      <c r="D5" s="18" t="n">
        <v>9918.8</v>
      </c>
      <c r="E5" s="18" t="n">
        <v>9193.25</v>
      </c>
      <c r="F5" s="18" t="n">
        <v>45269.73</v>
      </c>
      <c r="G5" s="18" t="n">
        <v>35391.31</v>
      </c>
      <c r="H5" s="18" t="n">
        <v>63825.86</v>
      </c>
      <c r="I5" s="18" t="n">
        <v>76957.08</v>
      </c>
      <c r="J5" s="18" t="n">
        <v>41546.22</v>
      </c>
      <c r="K5" s="18" t="n">
        <v>33310.13</v>
      </c>
      <c r="L5" s="18" t="n">
        <v>25154.74</v>
      </c>
      <c r="M5" s="18" t="n">
        <v>32910.1</v>
      </c>
      <c r="N5" s="20" t="n">
        <f aca="false">SUM(B5:M5)</f>
        <v>418990</v>
      </c>
    </row>
    <row r="6" customFormat="false" ht="15" hidden="false" customHeight="true" outlineLevel="0" collapsed="false">
      <c r="A6" s="1" t="s">
        <v>119</v>
      </c>
      <c r="B6" s="18" t="n">
        <v>6680.56</v>
      </c>
      <c r="C6" s="18" t="n">
        <v>9675.87</v>
      </c>
      <c r="D6" s="18" t="n">
        <v>3564.63</v>
      </c>
      <c r="E6" s="18" t="n">
        <v>3303.88</v>
      </c>
      <c r="F6" s="18" t="n">
        <v>16269.07</v>
      </c>
      <c r="G6" s="18" t="n">
        <v>12718.96</v>
      </c>
      <c r="H6" s="18" t="n">
        <v>22937.79</v>
      </c>
      <c r="I6" s="18" t="n">
        <v>27656.91</v>
      </c>
      <c r="J6" s="18" t="n">
        <v>14930.92</v>
      </c>
      <c r="K6" s="18" t="n">
        <v>11971.02</v>
      </c>
      <c r="L6" s="18" t="n">
        <v>9040.13</v>
      </c>
      <c r="M6" s="18" t="n">
        <v>11827.26</v>
      </c>
      <c r="N6" s="18" t="n">
        <f aca="false">SUM(B6:M6)</f>
        <v>150577</v>
      </c>
    </row>
    <row r="7" customFormat="false" ht="15" hidden="false" customHeight="true" outlineLevel="0" collapsed="false">
      <c r="A7" s="1" t="s">
        <v>120</v>
      </c>
      <c r="B7" s="18" t="n">
        <v>1013.37</v>
      </c>
      <c r="C7" s="18" t="n">
        <v>1467.73</v>
      </c>
      <c r="D7" s="18" t="n">
        <v>540.72</v>
      </c>
      <c r="E7" s="18" t="n">
        <v>501.16</v>
      </c>
      <c r="F7" s="18" t="n">
        <v>2467.85</v>
      </c>
      <c r="G7" s="18" t="n">
        <v>1929.34</v>
      </c>
      <c r="H7" s="18" t="n">
        <v>3479.43</v>
      </c>
      <c r="I7" s="18" t="n">
        <v>4195.27</v>
      </c>
      <c r="J7" s="18" t="n">
        <v>2264.87</v>
      </c>
      <c r="K7" s="18" t="n">
        <v>1815.88</v>
      </c>
      <c r="L7" s="18" t="n">
        <v>1371.3</v>
      </c>
      <c r="M7" s="18" t="n">
        <v>1794.08</v>
      </c>
      <c r="N7" s="18" t="n">
        <f aca="false">SUM(B7:M7)</f>
        <v>22841</v>
      </c>
    </row>
    <row r="8" customFormat="false" ht="15" hidden="false" customHeight="true" outlineLevel="0" collapsed="false">
      <c r="A8" s="1" t="s">
        <v>121</v>
      </c>
      <c r="B8" s="18" t="n">
        <v>680.58</v>
      </c>
      <c r="C8" s="18" t="n">
        <v>985.73</v>
      </c>
      <c r="D8" s="18" t="n">
        <v>363.15</v>
      </c>
      <c r="E8" s="18" t="n">
        <v>336.58</v>
      </c>
      <c r="F8" s="18" t="n">
        <v>1657.41</v>
      </c>
      <c r="G8" s="18" t="n">
        <v>1295.74</v>
      </c>
      <c r="H8" s="18" t="n">
        <v>2336.78</v>
      </c>
      <c r="I8" s="18" t="n">
        <v>2817.54</v>
      </c>
      <c r="J8" s="18" t="n">
        <v>1521.08</v>
      </c>
      <c r="K8" s="18" t="n">
        <v>1219.55</v>
      </c>
      <c r="L8" s="18" t="n">
        <v>920.96</v>
      </c>
      <c r="M8" s="18" t="n">
        <v>1204.9</v>
      </c>
      <c r="N8" s="18" t="n">
        <f aca="false">SUM(B8:M8)</f>
        <v>15340</v>
      </c>
    </row>
    <row r="9" customFormat="false" ht="15" hidden="false" customHeight="true" outlineLevel="0" collapsed="false">
      <c r="A9" s="1" t="s">
        <v>122</v>
      </c>
      <c r="B9" s="18" t="n">
        <v>343.4</v>
      </c>
      <c r="C9" s="18" t="n">
        <v>497.36</v>
      </c>
      <c r="D9" s="18" t="n">
        <v>183.23</v>
      </c>
      <c r="E9" s="18" t="n">
        <v>169.83</v>
      </c>
      <c r="F9" s="18" t="n">
        <v>836.27</v>
      </c>
      <c r="G9" s="18" t="n">
        <v>653.78</v>
      </c>
      <c r="H9" s="18" t="n">
        <v>1179.05</v>
      </c>
      <c r="I9" s="18" t="n">
        <v>1421.63</v>
      </c>
      <c r="J9" s="18" t="n">
        <v>767.48</v>
      </c>
      <c r="K9" s="18" t="n">
        <v>615.34</v>
      </c>
      <c r="L9" s="18" t="n">
        <v>464.68</v>
      </c>
      <c r="M9" s="18" t="n">
        <v>607.95</v>
      </c>
      <c r="N9" s="18" t="n">
        <f aca="false">SUM(B9:M9)</f>
        <v>7740</v>
      </c>
    </row>
    <row r="10" customFormat="false" ht="15" hidden="false" customHeight="true" outlineLevel="0" collapsed="false">
      <c r="A10" s="1" t="s">
        <v>124</v>
      </c>
      <c r="B10" s="18" t="n">
        <v>422.72</v>
      </c>
      <c r="C10" s="18" t="n">
        <v>612.26</v>
      </c>
      <c r="D10" s="18" t="n">
        <v>225.56</v>
      </c>
      <c r="E10" s="18" t="n">
        <v>209.06</v>
      </c>
      <c r="F10" s="18" t="n">
        <v>1029.45</v>
      </c>
      <c r="G10" s="18" t="n">
        <v>804.81</v>
      </c>
      <c r="H10" s="18" t="n">
        <v>1451.43</v>
      </c>
      <c r="I10" s="18" t="n">
        <v>1750.03</v>
      </c>
      <c r="J10" s="18" t="n">
        <v>944.78</v>
      </c>
      <c r="K10" s="18" t="n">
        <v>757.49</v>
      </c>
      <c r="L10" s="18" t="n">
        <v>572.03</v>
      </c>
      <c r="M10" s="18" t="n">
        <v>748.39</v>
      </c>
      <c r="N10" s="18" t="n">
        <f aca="false">SUM(B10:M10)</f>
        <v>9528.01</v>
      </c>
    </row>
    <row r="11" customFormat="false" ht="15" hidden="false" customHeight="true" outlineLevel="0" collapsed="false">
      <c r="A11" s="1" t="s">
        <v>125</v>
      </c>
      <c r="B11" s="18" t="n">
        <v>839.1</v>
      </c>
      <c r="C11" s="18" t="n">
        <v>1215.32</v>
      </c>
      <c r="D11" s="18" t="n">
        <v>447.73</v>
      </c>
      <c r="E11" s="18" t="n">
        <v>414.98</v>
      </c>
      <c r="F11" s="18" t="n">
        <v>2043.45</v>
      </c>
      <c r="G11" s="18" t="n">
        <v>1597.55</v>
      </c>
      <c r="H11" s="18" t="n">
        <v>2881.07</v>
      </c>
      <c r="I11" s="18" t="n">
        <v>3473.8</v>
      </c>
      <c r="J11" s="18" t="n">
        <v>1875.38</v>
      </c>
      <c r="K11" s="18" t="n">
        <v>1503.6</v>
      </c>
      <c r="L11" s="18" t="n">
        <v>1135.47</v>
      </c>
      <c r="M11" s="18" t="n">
        <v>1485.55</v>
      </c>
      <c r="N11" s="18" t="n">
        <f aca="false">SUM(B11:M11)</f>
        <v>18913</v>
      </c>
    </row>
    <row r="12" customFormat="false" ht="15" hidden="false" customHeight="true" outlineLevel="0" collapsed="false">
      <c r="A12" s="1" t="s">
        <v>126</v>
      </c>
      <c r="B12" s="18" t="n">
        <v>5299.79</v>
      </c>
      <c r="C12" s="18" t="n">
        <v>7676.01</v>
      </c>
      <c r="D12" s="18" t="n">
        <v>2827.87</v>
      </c>
      <c r="E12" s="18" t="n">
        <v>2621.02</v>
      </c>
      <c r="F12" s="18" t="n">
        <v>12906.5</v>
      </c>
      <c r="G12" s="18" t="n">
        <v>10090.14</v>
      </c>
      <c r="H12" s="18" t="n">
        <v>18196.9</v>
      </c>
      <c r="I12" s="18" t="n">
        <v>21940.64</v>
      </c>
      <c r="J12" s="18" t="n">
        <v>11844.92</v>
      </c>
      <c r="K12" s="18" t="n">
        <v>9496.79</v>
      </c>
      <c r="L12" s="18" t="n">
        <v>7171.67</v>
      </c>
      <c r="M12" s="18" t="n">
        <v>9382.75</v>
      </c>
      <c r="N12" s="18" t="n">
        <f aca="false">SUM(B12:M12)</f>
        <v>119455</v>
      </c>
    </row>
    <row r="13" customFormat="false" ht="15" hidden="false" customHeight="true" outlineLevel="0" collapsed="false">
      <c r="A13" s="1" t="s">
        <v>127</v>
      </c>
      <c r="B13" s="18" t="n">
        <v>262.6</v>
      </c>
      <c r="C13" s="18" t="n">
        <v>380.35</v>
      </c>
      <c r="D13" s="18" t="n">
        <v>140.12</v>
      </c>
      <c r="E13" s="18" t="n">
        <v>129.87</v>
      </c>
      <c r="F13" s="18" t="n">
        <v>639.52</v>
      </c>
      <c r="G13" s="18" t="n">
        <v>499.97</v>
      </c>
      <c r="H13" s="18" t="n">
        <v>901.66</v>
      </c>
      <c r="I13" s="18" t="n">
        <v>1087.16</v>
      </c>
      <c r="J13" s="18" t="n">
        <v>586.92</v>
      </c>
      <c r="K13" s="18" t="n">
        <v>470.57</v>
      </c>
      <c r="L13" s="18" t="n">
        <v>355.36</v>
      </c>
      <c r="M13" s="18" t="n">
        <v>464.92</v>
      </c>
      <c r="N13" s="18" t="n">
        <f aca="false">SUM(B13:M13)</f>
        <v>5919.02</v>
      </c>
    </row>
    <row r="14" customFormat="false" ht="15" hidden="false" customHeight="true" outlineLevel="0" collapsed="false">
      <c r="A14" s="1" t="s">
        <v>128</v>
      </c>
      <c r="B14" s="18" t="n">
        <v>1419.06</v>
      </c>
      <c r="C14" s="18" t="n">
        <v>2055.31</v>
      </c>
      <c r="D14" s="18" t="n">
        <v>757.18</v>
      </c>
      <c r="E14" s="18" t="n">
        <v>701.8</v>
      </c>
      <c r="F14" s="18" t="n">
        <v>3455.82</v>
      </c>
      <c r="G14" s="18" t="n">
        <v>2701.71</v>
      </c>
      <c r="H14" s="18" t="n">
        <v>4872.36</v>
      </c>
      <c r="I14" s="18" t="n">
        <v>5874.78</v>
      </c>
      <c r="J14" s="18" t="n">
        <v>3171.57</v>
      </c>
      <c r="K14" s="18" t="n">
        <v>2542.84</v>
      </c>
      <c r="L14" s="18" t="n">
        <v>1920.27</v>
      </c>
      <c r="M14" s="18" t="n">
        <v>2512.3</v>
      </c>
      <c r="N14" s="18" t="n">
        <f aca="false">SUM(B14:M14)</f>
        <v>31985</v>
      </c>
    </row>
    <row r="15" customFormat="false" ht="15" hidden="false" customHeight="true" outlineLevel="0" collapsed="false">
      <c r="A15" s="1" t="s">
        <v>129</v>
      </c>
      <c r="B15" s="18" t="n">
        <v>306.17</v>
      </c>
      <c r="C15" s="18" t="n">
        <v>443.45</v>
      </c>
      <c r="D15" s="18" t="n">
        <v>163.37</v>
      </c>
      <c r="E15" s="18" t="n">
        <v>151.42</v>
      </c>
      <c r="F15" s="18" t="n">
        <v>745.62</v>
      </c>
      <c r="G15" s="18" t="n">
        <v>582.91</v>
      </c>
      <c r="H15" s="18" t="n">
        <v>1051.25</v>
      </c>
      <c r="I15" s="18" t="n">
        <v>1267.53</v>
      </c>
      <c r="J15" s="18" t="n">
        <v>684.29</v>
      </c>
      <c r="K15" s="18" t="n">
        <v>548.64</v>
      </c>
      <c r="L15" s="18" t="n">
        <v>414.31</v>
      </c>
      <c r="M15" s="18" t="n">
        <v>542.05</v>
      </c>
      <c r="N15" s="18" t="n">
        <f aca="false">SUM(B15:M15)</f>
        <v>6901.01</v>
      </c>
    </row>
    <row r="16" customFormat="false" ht="15" hidden="false" customHeight="true" outlineLevel="0" collapsed="false">
      <c r="A16" s="1" t="s">
        <v>130</v>
      </c>
      <c r="B16" s="18" t="n">
        <v>998.24</v>
      </c>
      <c r="C16" s="18" t="n">
        <v>1445.82</v>
      </c>
      <c r="D16" s="18" t="n">
        <v>532.65</v>
      </c>
      <c r="E16" s="18" t="n">
        <v>493.68</v>
      </c>
      <c r="F16" s="18" t="n">
        <v>2431.01</v>
      </c>
      <c r="G16" s="18" t="n">
        <v>1900.53</v>
      </c>
      <c r="H16" s="18" t="n">
        <v>3427.48</v>
      </c>
      <c r="I16" s="18" t="n">
        <v>4132.64</v>
      </c>
      <c r="J16" s="18" t="n">
        <v>2231.06</v>
      </c>
      <c r="K16" s="18" t="n">
        <v>1788.77</v>
      </c>
      <c r="L16" s="18" t="n">
        <v>1350.82</v>
      </c>
      <c r="M16" s="18" t="n">
        <v>1767.29</v>
      </c>
      <c r="N16" s="18" t="n">
        <f aca="false">SUM(B16:M16)</f>
        <v>22499.99</v>
      </c>
    </row>
    <row r="17" customFormat="false" ht="15" hidden="false" customHeight="true" outlineLevel="0" collapsed="false">
      <c r="A17" s="1" t="s">
        <v>131</v>
      </c>
      <c r="B17" s="18" t="n">
        <v>182.97</v>
      </c>
      <c r="C17" s="18" t="n">
        <v>265</v>
      </c>
      <c r="D17" s="18" t="n">
        <v>97.63</v>
      </c>
      <c r="E17" s="18" t="n">
        <v>90.49</v>
      </c>
      <c r="F17" s="18" t="n">
        <v>445.58</v>
      </c>
      <c r="G17" s="18" t="n">
        <v>348.35</v>
      </c>
      <c r="H17" s="18" t="n">
        <v>628.22</v>
      </c>
      <c r="I17" s="18" t="n">
        <v>757.47</v>
      </c>
      <c r="J17" s="18" t="n">
        <v>408.93</v>
      </c>
      <c r="K17" s="18" t="n">
        <v>327.86</v>
      </c>
      <c r="L17" s="18" t="n">
        <v>247.59</v>
      </c>
      <c r="M17" s="18" t="n">
        <v>323.92</v>
      </c>
      <c r="N17" s="18" t="n">
        <f aca="false">SUM(B17:M17)</f>
        <v>4124.01</v>
      </c>
    </row>
    <row r="18" customFormat="false" ht="15" hidden="false" customHeight="true" outlineLevel="0" collapsed="false">
      <c r="A18" s="1" t="s">
        <v>152</v>
      </c>
      <c r="B18" s="18" t="n">
        <v>22.98</v>
      </c>
      <c r="C18" s="18" t="n">
        <v>33.29</v>
      </c>
      <c r="D18" s="18" t="n">
        <v>12.26</v>
      </c>
      <c r="E18" s="18" t="n">
        <v>11.37</v>
      </c>
      <c r="F18" s="18" t="n">
        <v>55.97</v>
      </c>
      <c r="G18" s="18" t="n">
        <v>43.75</v>
      </c>
      <c r="H18" s="18" t="n">
        <v>78.91</v>
      </c>
      <c r="I18" s="18" t="n">
        <v>95.14</v>
      </c>
      <c r="J18" s="18" t="n">
        <v>51.36</v>
      </c>
      <c r="K18" s="18" t="n">
        <v>41.18</v>
      </c>
      <c r="L18" s="18" t="n">
        <v>31.1</v>
      </c>
      <c r="M18" s="18" t="n">
        <v>40.69</v>
      </c>
      <c r="N18" s="18" t="n">
        <f aca="false">SUM(B18:M18)</f>
        <v>518</v>
      </c>
    </row>
    <row r="19" customFormat="false" ht="15" hidden="false" customHeight="true" outlineLevel="0" collapsed="false">
      <c r="A19" s="15" t="s">
        <v>134</v>
      </c>
      <c r="B19" s="16" t="n">
        <f aca="false">SUM(B6:B18)</f>
        <v>18471.54</v>
      </c>
      <c r="C19" s="16" t="n">
        <f aca="false">SUM(C6:C18)</f>
        <v>26753.5</v>
      </c>
      <c r="D19" s="16" t="n">
        <f aca="false">SUM(D6:D18)</f>
        <v>9856.1</v>
      </c>
      <c r="E19" s="16" t="n">
        <f aca="false">SUM(E6:E18)</f>
        <v>9135.14</v>
      </c>
      <c r="F19" s="16" t="n">
        <f aca="false">SUM(F6:F18)</f>
        <v>44983.52</v>
      </c>
      <c r="G19" s="16" t="n">
        <f aca="false">SUM(G6:G18)</f>
        <v>35167.54</v>
      </c>
      <c r="H19" s="16" t="n">
        <f aca="false">SUM(H6:H18)</f>
        <v>63422.33</v>
      </c>
      <c r="I19" s="16" t="n">
        <f aca="false">SUM(I6:I18)</f>
        <v>76470.54</v>
      </c>
      <c r="J19" s="16" t="n">
        <f aca="false">SUM(J6:J18)</f>
        <v>41283.56</v>
      </c>
      <c r="K19" s="16" t="n">
        <f aca="false">SUM(K6:K18)</f>
        <v>33099.53</v>
      </c>
      <c r="L19" s="16" t="n">
        <f aca="false">SUM(L6:L18)</f>
        <v>24995.69</v>
      </c>
      <c r="M19" s="16" t="n">
        <f aca="false">SUM(M6:M18)</f>
        <v>32702.05</v>
      </c>
      <c r="N19" s="20" t="n">
        <f aca="false">SUM(B19:M19)</f>
        <v>416341.04</v>
      </c>
    </row>
    <row r="20" customFormat="false" ht="15" hidden="false" customHeight="true" outlineLevel="0" collapsed="false">
      <c r="A20" s="15" t="s">
        <v>135</v>
      </c>
      <c r="B20" s="16" t="n">
        <f aca="false">B5-B19</f>
        <v>117.529999999999</v>
      </c>
      <c r="C20" s="16" t="n">
        <f aca="false">C5-C19</f>
        <v>170.209999999999</v>
      </c>
      <c r="D20" s="16" t="n">
        <f aca="false">D5-D19</f>
        <v>62.6999999999989</v>
      </c>
      <c r="E20" s="16" t="n">
        <f aca="false">E5-E19</f>
        <v>58.1100000000006</v>
      </c>
      <c r="F20" s="16" t="n">
        <f aca="false">F5-F19</f>
        <v>286.210000000006</v>
      </c>
      <c r="G20" s="16" t="n">
        <f aca="false">G5-G19</f>
        <v>223.769999999997</v>
      </c>
      <c r="H20" s="16" t="n">
        <f aca="false">H5-H19</f>
        <v>403.529999999999</v>
      </c>
      <c r="I20" s="16" t="n">
        <f aca="false">I5-I19</f>
        <v>486.540000000008</v>
      </c>
      <c r="J20" s="16" t="n">
        <f aca="false">J5-J19</f>
        <v>262.660000000004</v>
      </c>
      <c r="K20" s="16" t="n">
        <f aca="false">K5-K19</f>
        <v>210.599999999999</v>
      </c>
      <c r="L20" s="16" t="n">
        <f aca="false">L5-L19</f>
        <v>159.050000000003</v>
      </c>
      <c r="M20" s="16" t="n">
        <f aca="false">M5-M19</f>
        <v>208.049999999999</v>
      </c>
      <c r="N20" s="20" t="n">
        <f aca="false">SUM(B20:M20)</f>
        <v>2648.96000000001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14" min="2" style="1" width="11"/>
  </cols>
  <sheetData>
    <row r="1" customFormat="false" ht="17.25" hidden="false" customHeight="true" outlineLevel="0" collapsed="false">
      <c r="A1" s="2" t="s">
        <v>153</v>
      </c>
    </row>
    <row r="2" customFormat="false" ht="15" hidden="false" customHeight="true" outlineLevel="0" collapsed="false">
      <c r="A2" s="13" t="s">
        <v>154</v>
      </c>
    </row>
    <row r="4" customFormat="false" ht="26.25" hidden="false" customHeight="true" outlineLevel="0" collapsed="false">
      <c r="A4" s="14" t="s">
        <v>138</v>
      </c>
      <c r="B4" s="14" t="s">
        <v>139</v>
      </c>
      <c r="C4" s="14" t="s">
        <v>140</v>
      </c>
      <c r="D4" s="14" t="s">
        <v>141</v>
      </c>
      <c r="E4" s="14" t="s">
        <v>142</v>
      </c>
      <c r="F4" s="14" t="s">
        <v>143</v>
      </c>
      <c r="G4" s="14" t="s">
        <v>144</v>
      </c>
      <c r="H4" s="14" t="s">
        <v>145</v>
      </c>
      <c r="I4" s="14" t="s">
        <v>146</v>
      </c>
      <c r="J4" s="14" t="s">
        <v>147</v>
      </c>
      <c r="K4" s="14" t="s">
        <v>148</v>
      </c>
      <c r="L4" s="14" t="s">
        <v>149</v>
      </c>
      <c r="M4" s="14" t="s">
        <v>150</v>
      </c>
      <c r="N4" s="14" t="s">
        <v>151</v>
      </c>
    </row>
    <row r="5" customFormat="false" ht="15" hidden="false" customHeight="true" outlineLevel="0" collapsed="false">
      <c r="A5" s="19" t="s">
        <v>87</v>
      </c>
      <c r="B5" s="18" t="n">
        <v>53470</v>
      </c>
      <c r="C5" s="18" t="n">
        <v>60844.52</v>
      </c>
      <c r="D5" s="18" t="n">
        <v>54507</v>
      </c>
      <c r="E5" s="18" t="n">
        <v>25686.36</v>
      </c>
      <c r="F5" s="18" t="n">
        <v>24077.17</v>
      </c>
      <c r="G5" s="18" t="n">
        <v>15411.99</v>
      </c>
      <c r="H5" s="18" t="n">
        <v>11922.63</v>
      </c>
      <c r="I5" s="18" t="n">
        <v>27550.31</v>
      </c>
      <c r="J5" s="18" t="n">
        <v>7594.57</v>
      </c>
      <c r="K5" s="18" t="n">
        <v>13413.7</v>
      </c>
      <c r="L5" s="18" t="n">
        <v>44458.16</v>
      </c>
      <c r="M5" s="18" t="n">
        <v>31044.47</v>
      </c>
      <c r="N5" s="20" t="n">
        <f aca="false">SUM(B5:M5)</f>
        <v>369980.88</v>
      </c>
    </row>
    <row r="6" customFormat="false" ht="15" hidden="false" customHeight="true" outlineLevel="0" collapsed="false">
      <c r="A6" s="1" t="s">
        <v>119</v>
      </c>
      <c r="B6" s="18" t="n">
        <v>15287.08</v>
      </c>
      <c r="C6" s="18" t="n">
        <v>17395.45</v>
      </c>
      <c r="D6" s="18" t="n">
        <v>15583.56</v>
      </c>
      <c r="E6" s="18" t="n">
        <v>7343.73</v>
      </c>
      <c r="F6" s="18" t="n">
        <v>6883.67</v>
      </c>
      <c r="G6" s="18" t="n">
        <v>4406.29</v>
      </c>
      <c r="H6" s="18" t="n">
        <v>3408.68</v>
      </c>
      <c r="I6" s="18" t="n">
        <v>7876.64</v>
      </c>
      <c r="J6" s="18" t="n">
        <v>2171.29</v>
      </c>
      <c r="K6" s="18" t="n">
        <v>3834.98</v>
      </c>
      <c r="L6" s="18" t="n">
        <v>12710.59</v>
      </c>
      <c r="M6" s="18" t="n">
        <v>8875.62</v>
      </c>
      <c r="N6" s="18" t="n">
        <f aca="false">SUM(B6:M6)</f>
        <v>105777.58</v>
      </c>
    </row>
    <row r="7" customFormat="false" ht="15" hidden="false" customHeight="true" outlineLevel="0" collapsed="false">
      <c r="A7" s="1" t="s">
        <v>123</v>
      </c>
      <c r="B7" s="18" t="n">
        <v>259.66</v>
      </c>
      <c r="C7" s="18" t="n">
        <v>295.47</v>
      </c>
      <c r="D7" s="18" t="n">
        <v>264.7</v>
      </c>
      <c r="E7" s="18" t="n">
        <v>124.74</v>
      </c>
      <c r="F7" s="18" t="n">
        <v>116.92</v>
      </c>
      <c r="G7" s="18" t="n">
        <v>74.84</v>
      </c>
      <c r="H7" s="18" t="n">
        <v>57.9</v>
      </c>
      <c r="I7" s="18" t="n">
        <v>133.79</v>
      </c>
      <c r="J7" s="18" t="n">
        <v>36.88</v>
      </c>
      <c r="K7" s="18" t="n">
        <v>65.14</v>
      </c>
      <c r="L7" s="18" t="n">
        <v>215.9</v>
      </c>
      <c r="M7" s="18" t="n">
        <v>150.76</v>
      </c>
      <c r="N7" s="18" t="n">
        <f aca="false">SUM(B7:M7)</f>
        <v>1796.7</v>
      </c>
    </row>
    <row r="8" customFormat="false" ht="15" hidden="false" customHeight="true" outlineLevel="0" collapsed="false">
      <c r="A8" s="1" t="s">
        <v>125</v>
      </c>
      <c r="B8" s="18" t="n">
        <v>366.79</v>
      </c>
      <c r="C8" s="18" t="n">
        <v>417.38</v>
      </c>
      <c r="D8" s="18" t="n">
        <v>373.91</v>
      </c>
      <c r="E8" s="18" t="n">
        <v>176.2</v>
      </c>
      <c r="F8" s="18" t="n">
        <v>165.16</v>
      </c>
      <c r="G8" s="18" t="n">
        <v>105.72</v>
      </c>
      <c r="H8" s="18" t="n">
        <v>81.79</v>
      </c>
      <c r="I8" s="18" t="n">
        <v>188.99</v>
      </c>
      <c r="J8" s="18" t="n">
        <v>52.1</v>
      </c>
      <c r="K8" s="18" t="n">
        <v>92.02</v>
      </c>
      <c r="L8" s="18" t="n">
        <v>304.97</v>
      </c>
      <c r="M8" s="18" t="n">
        <v>212.96</v>
      </c>
      <c r="N8" s="18" t="n">
        <f aca="false">SUM(B8:M8)</f>
        <v>2537.99</v>
      </c>
    </row>
    <row r="9" customFormat="false" ht="15" hidden="false" customHeight="true" outlineLevel="0" collapsed="false">
      <c r="A9" s="1" t="s">
        <v>126</v>
      </c>
      <c r="B9" s="18" t="n">
        <v>32579.62</v>
      </c>
      <c r="C9" s="18" t="n">
        <v>37072.96</v>
      </c>
      <c r="D9" s="18" t="n">
        <v>33211.47</v>
      </c>
      <c r="E9" s="18" t="n">
        <v>15650.87</v>
      </c>
      <c r="F9" s="18" t="n">
        <v>14670.38</v>
      </c>
      <c r="G9" s="18" t="n">
        <v>9390.63</v>
      </c>
      <c r="H9" s="18" t="n">
        <v>7264.53</v>
      </c>
      <c r="I9" s="18" t="n">
        <v>16786.58</v>
      </c>
      <c r="J9" s="18" t="n">
        <v>4627.42</v>
      </c>
      <c r="K9" s="18" t="n">
        <v>8173.06</v>
      </c>
      <c r="L9" s="18" t="n">
        <v>27088.65</v>
      </c>
      <c r="M9" s="18" t="n">
        <v>18915.6</v>
      </c>
      <c r="N9" s="18" t="n">
        <f aca="false">SUM(B9:M9)</f>
        <v>225431.77</v>
      </c>
    </row>
    <row r="10" customFormat="false" ht="15" hidden="false" customHeight="true" outlineLevel="0" collapsed="false">
      <c r="A10" s="1" t="s">
        <v>128</v>
      </c>
      <c r="B10" s="18" t="n">
        <v>583.92</v>
      </c>
      <c r="C10" s="18" t="n">
        <v>664.46</v>
      </c>
      <c r="D10" s="18" t="n">
        <v>595.25</v>
      </c>
      <c r="E10" s="18" t="n">
        <v>280.51</v>
      </c>
      <c r="F10" s="18" t="n">
        <v>262.94</v>
      </c>
      <c r="G10" s="18" t="n">
        <v>168.31</v>
      </c>
      <c r="H10" s="18" t="n">
        <v>130.2</v>
      </c>
      <c r="I10" s="18" t="n">
        <v>300.86</v>
      </c>
      <c r="J10" s="18" t="n">
        <v>82.94</v>
      </c>
      <c r="K10" s="18" t="n">
        <v>146.49</v>
      </c>
      <c r="L10" s="18" t="n">
        <v>485.51</v>
      </c>
      <c r="M10" s="18" t="n">
        <v>339.02</v>
      </c>
      <c r="N10" s="18" t="n">
        <f aca="false">SUM(B10:M10)</f>
        <v>4040.41</v>
      </c>
    </row>
    <row r="11" customFormat="false" ht="15" hidden="false" customHeight="true" outlineLevel="0" collapsed="false">
      <c r="A11" s="1" t="s">
        <v>129</v>
      </c>
      <c r="B11" s="18" t="n">
        <v>74.47</v>
      </c>
      <c r="C11" s="18" t="n">
        <v>84.74</v>
      </c>
      <c r="D11" s="18" t="n">
        <v>75.91</v>
      </c>
      <c r="E11" s="18" t="n">
        <v>35.77</v>
      </c>
      <c r="F11" s="18" t="n">
        <v>33.53</v>
      </c>
      <c r="G11" s="18" t="n">
        <v>21.46</v>
      </c>
      <c r="H11" s="18" t="n">
        <v>16.6</v>
      </c>
      <c r="I11" s="18" t="n">
        <v>38.37</v>
      </c>
      <c r="J11" s="18" t="n">
        <v>10.58</v>
      </c>
      <c r="K11" s="18" t="n">
        <v>18.68</v>
      </c>
      <c r="L11" s="18" t="n">
        <v>61.92</v>
      </c>
      <c r="M11" s="18" t="n">
        <v>43.24</v>
      </c>
      <c r="N11" s="18" t="n">
        <f aca="false">SUM(B11:M11)</f>
        <v>515.27</v>
      </c>
    </row>
    <row r="12" customFormat="false" ht="15" hidden="false" customHeight="true" outlineLevel="0" collapsed="false">
      <c r="A12" s="1" t="s">
        <v>130</v>
      </c>
      <c r="B12" s="18" t="n">
        <v>2847.06</v>
      </c>
      <c r="C12" s="18" t="n">
        <v>3239.73</v>
      </c>
      <c r="D12" s="18" t="n">
        <v>2902.28</v>
      </c>
      <c r="E12" s="18" t="n">
        <v>1367.7</v>
      </c>
      <c r="F12" s="18" t="n">
        <v>1282.01</v>
      </c>
      <c r="G12" s="18" t="n">
        <v>820.63</v>
      </c>
      <c r="H12" s="18" t="n">
        <v>634.83</v>
      </c>
      <c r="I12" s="18" t="n">
        <v>1466.94</v>
      </c>
      <c r="J12" s="18" t="n">
        <v>404.38</v>
      </c>
      <c r="K12" s="18" t="n">
        <v>714.23</v>
      </c>
      <c r="L12" s="18" t="n">
        <v>2367.22</v>
      </c>
      <c r="M12" s="18" t="n">
        <v>1652.99</v>
      </c>
      <c r="N12" s="18" t="n">
        <f aca="false">SUM(B12:M12)</f>
        <v>19700</v>
      </c>
    </row>
    <row r="13" customFormat="false" ht="15" hidden="false" customHeight="true" outlineLevel="0" collapsed="false">
      <c r="A13" s="1" t="s">
        <v>131</v>
      </c>
      <c r="B13" s="18" t="n">
        <v>47.8</v>
      </c>
      <c r="C13" s="18" t="n">
        <v>54.4</v>
      </c>
      <c r="D13" s="18" t="n">
        <v>48.73</v>
      </c>
      <c r="E13" s="18" t="n">
        <v>22.96</v>
      </c>
      <c r="F13" s="18" t="n">
        <v>21.53</v>
      </c>
      <c r="G13" s="18" t="n">
        <v>13.78</v>
      </c>
      <c r="H13" s="18" t="n">
        <v>10.66</v>
      </c>
      <c r="I13" s="18" t="n">
        <v>24.63</v>
      </c>
      <c r="J13" s="18" t="n">
        <v>6.79</v>
      </c>
      <c r="K13" s="18" t="n">
        <v>11.99</v>
      </c>
      <c r="L13" s="18" t="n">
        <v>39.75</v>
      </c>
      <c r="M13" s="18" t="n">
        <v>27.76</v>
      </c>
      <c r="N13" s="18" t="n">
        <f aca="false">SUM(B13:M13)</f>
        <v>330.78</v>
      </c>
    </row>
    <row r="14" customFormat="false" ht="15" hidden="false" customHeight="true" outlineLevel="0" collapsed="false">
      <c r="A14" s="15" t="s">
        <v>134</v>
      </c>
      <c r="B14" s="16" t="n">
        <f aca="false">SUM(B6:B13)</f>
        <v>52046.4</v>
      </c>
      <c r="C14" s="16" t="n">
        <f aca="false">SUM(C6:C13)</f>
        <v>59224.59</v>
      </c>
      <c r="D14" s="16" t="n">
        <f aca="false">SUM(D6:D13)</f>
        <v>53055.81</v>
      </c>
      <c r="E14" s="16" t="n">
        <f aca="false">SUM(E6:E13)</f>
        <v>25002.48</v>
      </c>
      <c r="F14" s="16" t="n">
        <f aca="false">SUM(F6:F13)</f>
        <v>23436.14</v>
      </c>
      <c r="G14" s="16" t="n">
        <f aca="false">SUM(G6:G13)</f>
        <v>15001.66</v>
      </c>
      <c r="H14" s="16" t="n">
        <f aca="false">SUM(H6:H13)</f>
        <v>11605.19</v>
      </c>
      <c r="I14" s="16" t="n">
        <f aca="false">SUM(I6:I13)</f>
        <v>26816.8</v>
      </c>
      <c r="J14" s="16" t="n">
        <f aca="false">SUM(J6:J13)</f>
        <v>7392.38</v>
      </c>
      <c r="K14" s="16" t="n">
        <f aca="false">SUM(K6:K13)</f>
        <v>13056.59</v>
      </c>
      <c r="L14" s="16" t="n">
        <f aca="false">SUM(L6:L13)</f>
        <v>43274.51</v>
      </c>
      <c r="M14" s="16" t="n">
        <f aca="false">SUM(M6:M13)</f>
        <v>30217.95</v>
      </c>
      <c r="N14" s="20" t="n">
        <f aca="false">SUM(B14:M14)</f>
        <v>360130.5</v>
      </c>
    </row>
    <row r="15" customFormat="false" ht="15" hidden="false" customHeight="true" outlineLevel="0" collapsed="false">
      <c r="A15" s="15" t="s">
        <v>135</v>
      </c>
      <c r="B15" s="16" t="n">
        <f aca="false">B5-B14</f>
        <v>1423.6</v>
      </c>
      <c r="C15" s="16" t="n">
        <f aca="false">C5-C14</f>
        <v>1619.93</v>
      </c>
      <c r="D15" s="16" t="n">
        <f aca="false">D5-D14</f>
        <v>1451.19</v>
      </c>
      <c r="E15" s="16" t="n">
        <f aca="false">E5-E14</f>
        <v>683.880000000001</v>
      </c>
      <c r="F15" s="16" t="n">
        <f aca="false">F5-F14</f>
        <v>641.029999999999</v>
      </c>
      <c r="G15" s="16" t="n">
        <f aca="false">G5-G14</f>
        <v>410.33</v>
      </c>
      <c r="H15" s="16" t="n">
        <f aca="false">H5-H14</f>
        <v>317.439999999999</v>
      </c>
      <c r="I15" s="16" t="n">
        <f aca="false">I5-I14</f>
        <v>733.509999999998</v>
      </c>
      <c r="J15" s="16" t="n">
        <f aca="false">J5-J14</f>
        <v>202.19</v>
      </c>
      <c r="K15" s="16" t="n">
        <f aca="false">K5-K14</f>
        <v>357.110000000001</v>
      </c>
      <c r="L15" s="16" t="n">
        <f aca="false">L5-L14</f>
        <v>1183.65</v>
      </c>
      <c r="M15" s="16" t="n">
        <f aca="false">M5-M14</f>
        <v>826.52</v>
      </c>
      <c r="N15" s="20" t="n">
        <f aca="false">SUM(B15:M15)</f>
        <v>9850.38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14" min="2" style="1" width="11"/>
  </cols>
  <sheetData>
    <row r="1" customFormat="false" ht="17.25" hidden="false" customHeight="true" outlineLevel="0" collapsed="false">
      <c r="A1" s="2" t="s">
        <v>155</v>
      </c>
    </row>
    <row r="2" customFormat="false" ht="15" hidden="false" customHeight="true" outlineLevel="0" collapsed="false">
      <c r="A2" s="13" t="s">
        <v>156</v>
      </c>
    </row>
    <row r="3" customFormat="false" ht="49.5" hidden="false" customHeight="true" outlineLevel="0" collapsed="false">
      <c r="A3" s="21" t="s">
        <v>157</v>
      </c>
    </row>
    <row r="4" customFormat="false" ht="26.25" hidden="false" customHeight="true" outlineLevel="0" collapsed="false">
      <c r="A4" s="14" t="s">
        <v>138</v>
      </c>
      <c r="B4" s="14" t="s">
        <v>139</v>
      </c>
      <c r="C4" s="14" t="s">
        <v>140</v>
      </c>
      <c r="D4" s="14" t="s">
        <v>141</v>
      </c>
      <c r="E4" s="14" t="s">
        <v>142</v>
      </c>
      <c r="F4" s="14" t="s">
        <v>143</v>
      </c>
      <c r="G4" s="14" t="s">
        <v>144</v>
      </c>
      <c r="H4" s="14" t="s">
        <v>145</v>
      </c>
      <c r="I4" s="14" t="s">
        <v>146</v>
      </c>
      <c r="J4" s="14" t="s">
        <v>147</v>
      </c>
      <c r="K4" s="14" t="s">
        <v>148</v>
      </c>
      <c r="L4" s="14" t="s">
        <v>149</v>
      </c>
      <c r="M4" s="14" t="s">
        <v>150</v>
      </c>
      <c r="N4" s="14" t="s">
        <v>151</v>
      </c>
    </row>
    <row r="5" customFormat="false" ht="15" hidden="false" customHeight="true" outlineLevel="0" collapsed="false">
      <c r="A5" s="19" t="s">
        <v>87</v>
      </c>
      <c r="B5" s="18" t="n">
        <v>10914.69</v>
      </c>
      <c r="C5" s="18" t="n">
        <v>10914.69</v>
      </c>
      <c r="D5" s="18" t="n">
        <v>10914.69</v>
      </c>
      <c r="E5" s="18" t="n">
        <v>10914.69</v>
      </c>
      <c r="F5" s="18" t="n">
        <v>10914.69</v>
      </c>
      <c r="G5" s="18" t="n">
        <v>10914.69</v>
      </c>
      <c r="H5" s="18" t="n">
        <v>10914.69</v>
      </c>
      <c r="I5" s="18" t="n">
        <v>10914.69</v>
      </c>
      <c r="J5" s="18" t="n">
        <v>10914.69</v>
      </c>
      <c r="K5" s="18" t="n">
        <v>10914.69</v>
      </c>
      <c r="L5" s="18" t="n">
        <v>10914.69</v>
      </c>
      <c r="M5" s="18" t="n">
        <v>10914.69</v>
      </c>
      <c r="N5" s="20" t="n">
        <f aca="false">SUM(B5:M5)</f>
        <v>130976.28</v>
      </c>
    </row>
    <row r="6" customFormat="false" ht="15" hidden="false" customHeight="true" outlineLevel="0" collapsed="false">
      <c r="A6" s="1" t="s">
        <v>119</v>
      </c>
      <c r="B6" s="18" t="n">
        <v>17.95</v>
      </c>
      <c r="C6" s="18" t="n">
        <v>17.95</v>
      </c>
      <c r="D6" s="18" t="n">
        <v>17.95</v>
      </c>
      <c r="E6" s="18" t="n">
        <v>17.95</v>
      </c>
      <c r="F6" s="18" t="n">
        <v>17.95</v>
      </c>
      <c r="G6" s="18" t="n">
        <v>17.95</v>
      </c>
      <c r="H6" s="18" t="n">
        <v>17.95</v>
      </c>
      <c r="I6" s="18" t="n">
        <v>17.95</v>
      </c>
      <c r="J6" s="18" t="n">
        <v>17.95</v>
      </c>
      <c r="K6" s="18" t="n">
        <v>17.95</v>
      </c>
      <c r="L6" s="18" t="n">
        <v>17.95</v>
      </c>
      <c r="M6" s="18" t="n">
        <v>17.95</v>
      </c>
      <c r="N6" s="18" t="n">
        <f aca="false">SUM(B6:M6)</f>
        <v>215.4</v>
      </c>
    </row>
    <row r="7" customFormat="false" ht="15" hidden="false" customHeight="true" outlineLevel="0" collapsed="false">
      <c r="A7" s="1" t="s">
        <v>123</v>
      </c>
      <c r="B7" s="18" t="n">
        <v>250.59</v>
      </c>
      <c r="C7" s="18" t="n">
        <v>250.59</v>
      </c>
      <c r="D7" s="18" t="n">
        <v>250.59</v>
      </c>
      <c r="E7" s="18" t="n">
        <v>250.59</v>
      </c>
      <c r="F7" s="18" t="n">
        <v>250.59</v>
      </c>
      <c r="G7" s="18" t="n">
        <v>250.59</v>
      </c>
      <c r="H7" s="18" t="n">
        <v>250.59</v>
      </c>
      <c r="I7" s="18" t="n">
        <v>250.59</v>
      </c>
      <c r="J7" s="18" t="n">
        <v>250.59</v>
      </c>
      <c r="K7" s="18" t="n">
        <v>250.59</v>
      </c>
      <c r="L7" s="18" t="n">
        <v>250.59</v>
      </c>
      <c r="M7" s="18" t="n">
        <v>250.59</v>
      </c>
      <c r="N7" s="18" t="n">
        <f aca="false">SUM(B7:M7)</f>
        <v>3007.08</v>
      </c>
    </row>
    <row r="8" customFormat="false" ht="15" hidden="false" customHeight="true" outlineLevel="0" collapsed="false">
      <c r="A8" s="1" t="s">
        <v>125</v>
      </c>
      <c r="B8" s="18" t="n">
        <v>61.25</v>
      </c>
      <c r="C8" s="18" t="n">
        <v>61.25</v>
      </c>
      <c r="D8" s="18" t="n">
        <v>61.25</v>
      </c>
      <c r="E8" s="18" t="n">
        <v>61.25</v>
      </c>
      <c r="F8" s="18" t="n">
        <v>61.25</v>
      </c>
      <c r="G8" s="18" t="n">
        <v>61.25</v>
      </c>
      <c r="H8" s="18" t="n">
        <v>61.25</v>
      </c>
      <c r="I8" s="18" t="n">
        <v>61.25</v>
      </c>
      <c r="J8" s="18" t="n">
        <v>61.25</v>
      </c>
      <c r="K8" s="18" t="n">
        <v>61.25</v>
      </c>
      <c r="L8" s="18" t="n">
        <v>61.25</v>
      </c>
      <c r="M8" s="18" t="n">
        <v>61.25</v>
      </c>
      <c r="N8" s="18" t="n">
        <f aca="false">SUM(B8:M8)</f>
        <v>735</v>
      </c>
    </row>
    <row r="9" customFormat="false" ht="15" hidden="false" customHeight="true" outlineLevel="0" collapsed="false">
      <c r="A9" s="1" t="s">
        <v>126</v>
      </c>
      <c r="B9" s="18" t="n">
        <v>739.46</v>
      </c>
      <c r="C9" s="18" t="n">
        <v>739.46</v>
      </c>
      <c r="D9" s="18" t="n">
        <v>739.46</v>
      </c>
      <c r="E9" s="18" t="n">
        <v>739.46</v>
      </c>
      <c r="F9" s="18" t="n">
        <v>739.46</v>
      </c>
      <c r="G9" s="18" t="n">
        <v>739.46</v>
      </c>
      <c r="H9" s="18" t="n">
        <v>739.46</v>
      </c>
      <c r="I9" s="18" t="n">
        <v>739.46</v>
      </c>
      <c r="J9" s="18" t="n">
        <v>739.46</v>
      </c>
      <c r="K9" s="18" t="n">
        <v>739.46</v>
      </c>
      <c r="L9" s="18" t="n">
        <v>739.46</v>
      </c>
      <c r="M9" s="18" t="n">
        <v>739.46</v>
      </c>
      <c r="N9" s="18" t="n">
        <f aca="false">SUM(B9:M9)</f>
        <v>8873.52</v>
      </c>
    </row>
    <row r="10" customFormat="false" ht="15" hidden="false" customHeight="true" outlineLevel="0" collapsed="false">
      <c r="A10" s="1" t="s">
        <v>128</v>
      </c>
      <c r="B10" s="18" t="n">
        <v>112.73</v>
      </c>
      <c r="C10" s="18" t="n">
        <v>112.73</v>
      </c>
      <c r="D10" s="18" t="n">
        <v>112.73</v>
      </c>
      <c r="E10" s="18" t="n">
        <v>112.73</v>
      </c>
      <c r="F10" s="18" t="n">
        <v>112.73</v>
      </c>
      <c r="G10" s="18" t="n">
        <v>112.73</v>
      </c>
      <c r="H10" s="18" t="n">
        <v>112.73</v>
      </c>
      <c r="I10" s="18" t="n">
        <v>112.73</v>
      </c>
      <c r="J10" s="18" t="n">
        <v>112.73</v>
      </c>
      <c r="K10" s="18" t="n">
        <v>112.73</v>
      </c>
      <c r="L10" s="18" t="n">
        <v>112.73</v>
      </c>
      <c r="M10" s="18" t="n">
        <v>112.73</v>
      </c>
      <c r="N10" s="18" t="n">
        <f aca="false">SUM(B10:M10)</f>
        <v>1352.76</v>
      </c>
    </row>
    <row r="11" customFormat="false" ht="15" hidden="false" customHeight="true" outlineLevel="0" collapsed="false">
      <c r="A11" s="1" t="s">
        <v>129</v>
      </c>
      <c r="B11" s="18" t="n">
        <v>8703.44</v>
      </c>
      <c r="C11" s="18" t="n">
        <v>8703.44</v>
      </c>
      <c r="D11" s="18" t="n">
        <v>8703.44</v>
      </c>
      <c r="E11" s="18" t="n">
        <v>8703.44</v>
      </c>
      <c r="F11" s="18" t="n">
        <v>8703.44</v>
      </c>
      <c r="G11" s="18" t="n">
        <v>8703.44</v>
      </c>
      <c r="H11" s="18" t="n">
        <v>8703.44</v>
      </c>
      <c r="I11" s="18" t="n">
        <v>8703.44</v>
      </c>
      <c r="J11" s="18" t="n">
        <v>8703.44</v>
      </c>
      <c r="K11" s="18" t="n">
        <v>8703.44</v>
      </c>
      <c r="L11" s="18" t="n">
        <v>8703.44</v>
      </c>
      <c r="M11" s="18" t="n">
        <v>8703.44</v>
      </c>
      <c r="N11" s="18" t="n">
        <f aca="false">SUM(B11:M11)</f>
        <v>104441.28</v>
      </c>
    </row>
    <row r="12" customFormat="false" ht="15" hidden="false" customHeight="true" outlineLevel="0" collapsed="false">
      <c r="A12" s="1" t="s">
        <v>130</v>
      </c>
      <c r="B12" s="18" t="n">
        <v>1458.33</v>
      </c>
      <c r="C12" s="18" t="n">
        <v>1458.33</v>
      </c>
      <c r="D12" s="18" t="n">
        <v>1458.33</v>
      </c>
      <c r="E12" s="18" t="n">
        <v>1458.33</v>
      </c>
      <c r="F12" s="18" t="n">
        <v>1458.33</v>
      </c>
      <c r="G12" s="18" t="n">
        <v>1458.33</v>
      </c>
      <c r="H12" s="18" t="n">
        <v>1458.33</v>
      </c>
      <c r="I12" s="18" t="n">
        <v>1458.33</v>
      </c>
      <c r="J12" s="18" t="n">
        <v>1458.33</v>
      </c>
      <c r="K12" s="18" t="n">
        <v>1458.33</v>
      </c>
      <c r="L12" s="18" t="n">
        <v>1458.33</v>
      </c>
      <c r="M12" s="18" t="n">
        <v>1458.33</v>
      </c>
      <c r="N12" s="18" t="n">
        <f aca="false">SUM(B12:M12)</f>
        <v>17499.96</v>
      </c>
    </row>
    <row r="13" customFormat="false" ht="15" hidden="false" customHeight="true" outlineLevel="0" collapsed="false">
      <c r="A13" s="1" t="s">
        <v>131</v>
      </c>
      <c r="B13" s="18" t="n">
        <v>126.66</v>
      </c>
      <c r="C13" s="18" t="n">
        <v>126.66</v>
      </c>
      <c r="D13" s="18" t="n">
        <v>126.66</v>
      </c>
      <c r="E13" s="18" t="n">
        <v>126.66</v>
      </c>
      <c r="F13" s="18" t="n">
        <v>126.66</v>
      </c>
      <c r="G13" s="18" t="n">
        <v>126.66</v>
      </c>
      <c r="H13" s="18" t="n">
        <v>126.66</v>
      </c>
      <c r="I13" s="18" t="n">
        <v>126.66</v>
      </c>
      <c r="J13" s="18" t="n">
        <v>126.66</v>
      </c>
      <c r="K13" s="18" t="n">
        <v>126.66</v>
      </c>
      <c r="L13" s="18" t="n">
        <v>126.66</v>
      </c>
      <c r="M13" s="18" t="n">
        <v>126.66</v>
      </c>
      <c r="N13" s="18" t="n">
        <f aca="false">SUM(B13:M13)</f>
        <v>1519.92</v>
      </c>
    </row>
    <row r="14" customFormat="false" ht="15" hidden="false" customHeight="true" outlineLevel="0" collapsed="false">
      <c r="A14" s="1" t="s">
        <v>132</v>
      </c>
      <c r="B14" s="18" t="n">
        <v>19.22</v>
      </c>
      <c r="C14" s="18" t="n">
        <v>19.22</v>
      </c>
      <c r="D14" s="18" t="n">
        <v>19.22</v>
      </c>
      <c r="E14" s="18" t="n">
        <v>19.22</v>
      </c>
      <c r="F14" s="18" t="n">
        <v>19.22</v>
      </c>
      <c r="G14" s="18" t="n">
        <v>19.22</v>
      </c>
      <c r="H14" s="18" t="n">
        <v>19.22</v>
      </c>
      <c r="I14" s="18" t="n">
        <v>19.22</v>
      </c>
      <c r="J14" s="18" t="n">
        <v>19.22</v>
      </c>
      <c r="K14" s="18" t="n">
        <v>19.22</v>
      </c>
      <c r="L14" s="18" t="n">
        <v>19.22</v>
      </c>
      <c r="M14" s="18" t="n">
        <v>19.22</v>
      </c>
      <c r="N14" s="18" t="n">
        <f aca="false">SUM(B14:M14)</f>
        <v>230.64</v>
      </c>
    </row>
    <row r="15" customFormat="false" ht="15" hidden="false" customHeight="true" outlineLevel="0" collapsed="false">
      <c r="A15" s="15" t="s">
        <v>134</v>
      </c>
      <c r="B15" s="16" t="n">
        <f aca="false">SUM(B6:B14)</f>
        <v>11489.63</v>
      </c>
      <c r="C15" s="16" t="n">
        <f aca="false">SUM(C6:C14)</f>
        <v>11489.63</v>
      </c>
      <c r="D15" s="16" t="n">
        <f aca="false">SUM(D6:D14)</f>
        <v>11489.63</v>
      </c>
      <c r="E15" s="16" t="n">
        <f aca="false">SUM(E6:E14)</f>
        <v>11489.63</v>
      </c>
      <c r="F15" s="16" t="n">
        <f aca="false">SUM(F6:F14)</f>
        <v>11489.63</v>
      </c>
      <c r="G15" s="16" t="n">
        <f aca="false">SUM(G6:G14)</f>
        <v>11489.63</v>
      </c>
      <c r="H15" s="16" t="n">
        <f aca="false">SUM(H6:H14)</f>
        <v>11489.63</v>
      </c>
      <c r="I15" s="16" t="n">
        <f aca="false">SUM(I6:I14)</f>
        <v>11489.63</v>
      </c>
      <c r="J15" s="16" t="n">
        <f aca="false">SUM(J6:J14)</f>
        <v>11489.63</v>
      </c>
      <c r="K15" s="16" t="n">
        <f aca="false">SUM(K6:K14)</f>
        <v>11489.63</v>
      </c>
      <c r="L15" s="16" t="n">
        <f aca="false">SUM(L6:L14)</f>
        <v>11489.63</v>
      </c>
      <c r="M15" s="16" t="n">
        <f aca="false">SUM(M6:M14)</f>
        <v>11489.63</v>
      </c>
      <c r="N15" s="20" t="n">
        <f aca="false">SUM(B15:M15)</f>
        <v>137875.56</v>
      </c>
    </row>
    <row r="16" customFormat="false" ht="15" hidden="false" customHeight="true" outlineLevel="0" collapsed="false">
      <c r="A16" s="15" t="s">
        <v>135</v>
      </c>
      <c r="B16" s="16" t="n">
        <f aca="false">B5-B15</f>
        <v>-574.940000000001</v>
      </c>
      <c r="C16" s="16" t="n">
        <f aca="false">C5-C15</f>
        <v>-574.940000000001</v>
      </c>
      <c r="D16" s="16" t="n">
        <f aca="false">D5-D15</f>
        <v>-574.940000000001</v>
      </c>
      <c r="E16" s="16" t="n">
        <f aca="false">E5-E15</f>
        <v>-574.940000000001</v>
      </c>
      <c r="F16" s="16" t="n">
        <f aca="false">F5-F15</f>
        <v>-574.940000000001</v>
      </c>
      <c r="G16" s="16" t="n">
        <f aca="false">G5-G15</f>
        <v>-574.940000000001</v>
      </c>
      <c r="H16" s="16" t="n">
        <f aca="false">H5-H15</f>
        <v>-574.940000000001</v>
      </c>
      <c r="I16" s="16" t="n">
        <f aca="false">I5-I15</f>
        <v>-574.940000000001</v>
      </c>
      <c r="J16" s="16" t="n">
        <f aca="false">J5-J15</f>
        <v>-574.940000000001</v>
      </c>
      <c r="K16" s="16" t="n">
        <f aca="false">K5-K15</f>
        <v>-574.940000000001</v>
      </c>
      <c r="L16" s="16" t="n">
        <f aca="false">L5-L15</f>
        <v>-574.940000000001</v>
      </c>
      <c r="M16" s="16" t="n">
        <f aca="false">M5-M15</f>
        <v>-574.940000000001</v>
      </c>
      <c r="N16" s="20" t="n">
        <f aca="false">SUM(B16:M16)</f>
        <v>-6899.28000000001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6" min="2" style="1" width="16"/>
    <col collapsed="false" customWidth="true" hidden="false" outlineLevel="0" max="7" min="7" style="1" width="34"/>
  </cols>
  <sheetData>
    <row r="1" customFormat="false" ht="17.25" hidden="false" customHeight="true" outlineLevel="0" collapsed="false">
      <c r="A1" s="2" t="s">
        <v>158</v>
      </c>
    </row>
    <row r="2" customFormat="false" ht="30" hidden="false" customHeight="true" outlineLevel="0" collapsed="false">
      <c r="A2" s="22" t="s">
        <v>159</v>
      </c>
    </row>
    <row r="4" customFormat="false" ht="27.75" hidden="false" customHeight="true" outlineLevel="0" collapsed="false">
      <c r="A4" s="23" t="s">
        <v>160</v>
      </c>
      <c r="B4" s="23" t="s">
        <v>161</v>
      </c>
      <c r="C4" s="23" t="s">
        <v>162</v>
      </c>
      <c r="D4" s="23" t="s">
        <v>163</v>
      </c>
      <c r="E4" s="23" t="s">
        <v>164</v>
      </c>
      <c r="F4" s="23" t="s">
        <v>165</v>
      </c>
      <c r="G4" s="23" t="s">
        <v>166</v>
      </c>
    </row>
    <row r="5" customFormat="false" ht="15" hidden="false" customHeight="true" outlineLevel="0" collapsed="false">
      <c r="A5" s="24" t="s">
        <v>167</v>
      </c>
      <c r="B5" s="18" t="n">
        <v>324.04</v>
      </c>
      <c r="C5" s="18" t="n">
        <v>17285.65</v>
      </c>
      <c r="D5" s="18" t="n">
        <v>15856.16</v>
      </c>
      <c r="E5" s="18" t="n">
        <f aca="false">C5-D5</f>
        <v>1429.49</v>
      </c>
      <c r="F5" s="18" t="n">
        <f aca="false">B5+E5</f>
        <v>1753.53</v>
      </c>
      <c r="G5" s="25" t="s">
        <v>168</v>
      </c>
    </row>
    <row r="6" customFormat="false" ht="15" hidden="false" customHeight="true" outlineLevel="0" collapsed="false">
      <c r="A6" s="24" t="s">
        <v>169</v>
      </c>
      <c r="B6" s="18" t="n">
        <f aca="false">F5</f>
        <v>1753.53</v>
      </c>
      <c r="C6" s="18" t="n">
        <v>76176.24</v>
      </c>
      <c r="D6" s="18" t="n">
        <v>77200.51</v>
      </c>
      <c r="E6" s="18" t="n">
        <f aca="false">C6-D6</f>
        <v>-1024.26999999999</v>
      </c>
      <c r="F6" s="18" t="n">
        <f aca="false">B6+E6</f>
        <v>729.260000000012</v>
      </c>
      <c r="G6" s="25" t="s">
        <v>170</v>
      </c>
    </row>
    <row r="7" customFormat="false" ht="15" hidden="false" customHeight="true" outlineLevel="0" collapsed="false">
      <c r="A7" s="24" t="s">
        <v>171</v>
      </c>
      <c r="B7" s="18" t="n">
        <f aca="false">F6</f>
        <v>729.260000000012</v>
      </c>
      <c r="C7" s="18" t="n">
        <v>55123.29</v>
      </c>
      <c r="D7" s="18" t="n">
        <v>55659.73</v>
      </c>
      <c r="E7" s="18" t="n">
        <f aca="false">C7-D7</f>
        <v>-536.440000000002</v>
      </c>
      <c r="F7" s="18" t="n">
        <f aca="false">B7+E7</f>
        <v>192.82000000001</v>
      </c>
      <c r="G7" s="25" t="s">
        <v>172</v>
      </c>
    </row>
    <row r="9" customFormat="false" ht="34.5" hidden="false" customHeight="true" outlineLevel="0" collapsed="false">
      <c r="A9" s="26" t="s">
        <v>173</v>
      </c>
      <c r="B9" s="26"/>
      <c r="C9" s="26"/>
      <c r="D9" s="26"/>
      <c r="E9" s="26"/>
      <c r="F9" s="26"/>
      <c r="G9" s="26"/>
    </row>
    <row r="10" customFormat="false" ht="15" hidden="false" customHeight="true" outlineLevel="0" collapsed="false">
      <c r="A10" s="26"/>
      <c r="B10" s="26"/>
      <c r="C10" s="26"/>
      <c r="D10" s="26"/>
      <c r="E10" s="26"/>
      <c r="F10" s="26"/>
      <c r="G10" s="26"/>
    </row>
  </sheetData>
  <mergeCells count="1">
    <mergeCell ref="A9:G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6" min="2" style="1" width="16"/>
    <col collapsed="false" customWidth="true" hidden="false" outlineLevel="0" max="7" min="7" style="1" width="34"/>
  </cols>
  <sheetData>
    <row r="1" customFormat="false" ht="17.25" hidden="false" customHeight="true" outlineLevel="0" collapsed="false">
      <c r="A1" s="2" t="s">
        <v>174</v>
      </c>
    </row>
    <row r="2" customFormat="false" ht="15" hidden="false" customHeight="true" outlineLevel="0" collapsed="false">
      <c r="A2" s="13" t="s">
        <v>175</v>
      </c>
    </row>
    <row r="4" customFormat="false" ht="26.25" hidden="false" customHeight="true" outlineLevel="0" collapsed="false">
      <c r="A4" s="14" t="s">
        <v>160</v>
      </c>
      <c r="B4" s="14" t="s">
        <v>161</v>
      </c>
      <c r="C4" s="14" t="s">
        <v>162</v>
      </c>
      <c r="D4" s="14" t="s">
        <v>163</v>
      </c>
      <c r="E4" s="14" t="s">
        <v>164</v>
      </c>
      <c r="F4" s="14" t="s">
        <v>165</v>
      </c>
      <c r="G4" s="14" t="s">
        <v>166</v>
      </c>
    </row>
    <row r="5" customFormat="false" ht="15" hidden="false" customHeight="true" outlineLevel="0" collapsed="false">
      <c r="A5" s="24" t="s">
        <v>139</v>
      </c>
      <c r="B5" s="18" t="n">
        <v>192.82</v>
      </c>
      <c r="C5" s="18" t="n">
        <v>33195.53</v>
      </c>
      <c r="D5" s="18" t="n">
        <v>24982.18</v>
      </c>
      <c r="E5" s="18" t="n">
        <f aca="false">C5-D5</f>
        <v>8213.35</v>
      </c>
      <c r="F5" s="18" t="n">
        <v>8406.17</v>
      </c>
      <c r="G5" s="25" t="s">
        <v>176</v>
      </c>
    </row>
    <row r="6" customFormat="false" ht="15" hidden="false" customHeight="true" outlineLevel="0" collapsed="false">
      <c r="A6" s="24" t="s">
        <v>140</v>
      </c>
      <c r="B6" s="18" t="n">
        <v>8406.17</v>
      </c>
      <c r="C6" s="27" t="n">
        <v>28949.79</v>
      </c>
      <c r="D6" s="27" t="n">
        <v>36773.94</v>
      </c>
      <c r="E6" s="18" t="n">
        <f aca="false">C6-D6</f>
        <v>-7824.15</v>
      </c>
      <c r="F6" s="18" t="n">
        <v>582.02</v>
      </c>
      <c r="G6" s="25" t="s">
        <v>177</v>
      </c>
    </row>
    <row r="7" customFormat="false" ht="15" hidden="false" customHeight="true" outlineLevel="0" collapsed="false">
      <c r="A7" s="24" t="s">
        <v>141</v>
      </c>
      <c r="B7" s="18" t="n">
        <v>582.02</v>
      </c>
      <c r="C7" s="18" t="n">
        <v>36110</v>
      </c>
      <c r="D7" s="18" t="n">
        <v>18088.77</v>
      </c>
      <c r="E7" s="18" t="n">
        <f aca="false">C7-D7</f>
        <v>18021.23</v>
      </c>
      <c r="F7" s="18" t="n">
        <v>18603.25</v>
      </c>
      <c r="G7" s="25" t="s">
        <v>178</v>
      </c>
    </row>
    <row r="8" customFormat="false" ht="15" hidden="false" customHeight="true" outlineLevel="0" collapsed="false">
      <c r="A8" s="24" t="s">
        <v>142</v>
      </c>
      <c r="B8" s="18" t="n">
        <v>18603.25</v>
      </c>
      <c r="C8" s="18" t="n">
        <v>90978.23</v>
      </c>
      <c r="D8" s="18" t="n">
        <v>97180.4</v>
      </c>
      <c r="E8" s="18" t="n">
        <f aca="false">C8-D8</f>
        <v>-6202.17</v>
      </c>
      <c r="F8" s="18" t="n">
        <v>12401.08</v>
      </c>
      <c r="G8" s="25" t="s">
        <v>179</v>
      </c>
    </row>
    <row r="9" customFormat="false" ht="15" hidden="false" customHeight="true" outlineLevel="0" collapsed="false">
      <c r="A9" s="24" t="s">
        <v>143</v>
      </c>
      <c r="B9" s="18" t="n">
        <v>12401.08</v>
      </c>
      <c r="C9" s="18" t="n">
        <v>126460.06</v>
      </c>
      <c r="D9" s="18" t="n">
        <v>138358.03</v>
      </c>
      <c r="E9" s="18" t="n">
        <f aca="false">C9-D9</f>
        <v>-11897.97</v>
      </c>
      <c r="F9" s="18" t="n">
        <v>503.11</v>
      </c>
      <c r="G9" s="25" t="s">
        <v>180</v>
      </c>
    </row>
    <row r="10" customFormat="false" ht="15" hidden="false" customHeight="true" outlineLevel="0" collapsed="false">
      <c r="A10" s="24" t="s">
        <v>144</v>
      </c>
      <c r="B10" s="18" t="n">
        <v>503.11</v>
      </c>
      <c r="C10" s="18" t="n">
        <v>93188.04</v>
      </c>
      <c r="D10" s="18" t="n">
        <v>90137.39</v>
      </c>
      <c r="E10" s="18" t="n">
        <f aca="false">C10-D10</f>
        <v>3050.64999999999</v>
      </c>
      <c r="F10" s="18" t="n">
        <v>3553.76</v>
      </c>
      <c r="G10" s="25" t="s">
        <v>181</v>
      </c>
    </row>
    <row r="11" customFormat="false" ht="15" hidden="false" customHeight="true" outlineLevel="0" collapsed="false">
      <c r="A11" s="24" t="s">
        <v>145</v>
      </c>
      <c r="B11" s="18" t="n">
        <v>3553.76</v>
      </c>
      <c r="C11" s="18" t="n">
        <v>125576.78</v>
      </c>
      <c r="D11" s="18" t="n">
        <v>98074.5</v>
      </c>
      <c r="E11" s="18" t="n">
        <f aca="false">C11-D11</f>
        <v>27502.28</v>
      </c>
      <c r="F11" s="18" t="n">
        <v>31056.04</v>
      </c>
      <c r="G11" s="25" t="s">
        <v>182</v>
      </c>
    </row>
    <row r="12" customFormat="false" ht="15" hidden="false" customHeight="true" outlineLevel="0" collapsed="false">
      <c r="A12" s="24" t="s">
        <v>146</v>
      </c>
      <c r="B12" s="18" t="n">
        <v>31056.04</v>
      </c>
      <c r="C12" s="18" t="n">
        <v>62042.22</v>
      </c>
      <c r="D12" s="18" t="n">
        <v>88975.34</v>
      </c>
      <c r="E12" s="18" t="n">
        <f aca="false">C12-D12</f>
        <v>-26933.12</v>
      </c>
      <c r="F12" s="18" t="n">
        <v>4122.92</v>
      </c>
      <c r="G12" s="25" t="s">
        <v>183</v>
      </c>
    </row>
    <row r="13" customFormat="false" ht="15" hidden="false" customHeight="true" outlineLevel="0" collapsed="false">
      <c r="A13" s="24" t="s">
        <v>147</v>
      </c>
      <c r="B13" s="18" t="n">
        <v>4122.92</v>
      </c>
      <c r="C13" s="18" t="n">
        <v>125305.86</v>
      </c>
      <c r="D13" s="18" t="n">
        <v>117280.54</v>
      </c>
      <c r="E13" s="18" t="n">
        <f aca="false">C13-D13</f>
        <v>8025.32000000001</v>
      </c>
      <c r="F13" s="18" t="n">
        <v>12148.24</v>
      </c>
      <c r="G13" s="25" t="s">
        <v>184</v>
      </c>
    </row>
    <row r="14" customFormat="false" ht="15" hidden="false" customHeight="true" outlineLevel="0" collapsed="false">
      <c r="A14" s="24" t="s">
        <v>148</v>
      </c>
      <c r="B14" s="18" t="n">
        <v>12148.24</v>
      </c>
      <c r="C14" s="18" t="n">
        <v>48705.65</v>
      </c>
      <c r="D14" s="18" t="n">
        <v>53711.03</v>
      </c>
      <c r="E14" s="18" t="n">
        <f aca="false">C14-D14</f>
        <v>-5005.38</v>
      </c>
      <c r="F14" s="18" t="n">
        <v>7142.86</v>
      </c>
      <c r="G14" s="25" t="s">
        <v>185</v>
      </c>
    </row>
    <row r="15" customFormat="false" ht="15" hidden="false" customHeight="true" outlineLevel="0" collapsed="false">
      <c r="A15" s="24" t="s">
        <v>149</v>
      </c>
      <c r="B15" s="18" t="n">
        <v>7142.86</v>
      </c>
      <c r="C15" s="18" t="n">
        <v>31367.72</v>
      </c>
      <c r="D15" s="18" t="n">
        <v>32303.98</v>
      </c>
      <c r="E15" s="18" t="n">
        <f aca="false">C15-D15</f>
        <v>-936.259999999998</v>
      </c>
      <c r="F15" s="18" t="n">
        <v>6206.6</v>
      </c>
      <c r="G15" s="25" t="s">
        <v>186</v>
      </c>
    </row>
    <row r="16" customFormat="false" ht="15" hidden="false" customHeight="true" outlineLevel="0" collapsed="false">
      <c r="A16" s="24" t="s">
        <v>150</v>
      </c>
      <c r="B16" s="18" t="n">
        <v>6206.6</v>
      </c>
      <c r="C16" s="27" t="n">
        <v>93874.24</v>
      </c>
      <c r="D16" s="27" t="n">
        <v>92689.04</v>
      </c>
      <c r="E16" s="18" t="n">
        <f aca="false">C16-D16</f>
        <v>1185.20000000001</v>
      </c>
      <c r="F16" s="18" t="n">
        <v>7391.8</v>
      </c>
      <c r="G16" s="25" t="s">
        <v>187</v>
      </c>
    </row>
    <row r="18" customFormat="false" ht="45" hidden="false" customHeight="true" outlineLevel="0" collapsed="false">
      <c r="A18" s="28" t="s">
        <v>188</v>
      </c>
      <c r="B18" s="28"/>
      <c r="C18" s="28"/>
      <c r="D18" s="28"/>
      <c r="E18" s="28"/>
      <c r="F18" s="28"/>
      <c r="G18" s="28"/>
    </row>
    <row r="19" customFormat="false" ht="15" hidden="false" customHeight="true" outlineLevel="0" collapsed="false">
      <c r="A19" s="28"/>
      <c r="B19" s="28"/>
      <c r="C19" s="28"/>
      <c r="D19" s="28"/>
      <c r="E19" s="28"/>
      <c r="F19" s="28"/>
      <c r="G19" s="28"/>
    </row>
  </sheetData>
  <mergeCells count="1">
    <mergeCell ref="A18:G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6" min="2" style="1" width="16"/>
    <col collapsed="false" customWidth="true" hidden="false" outlineLevel="0" max="7" min="7" style="1" width="34"/>
  </cols>
  <sheetData>
    <row r="1" customFormat="false" ht="17.25" hidden="false" customHeight="true" outlineLevel="0" collapsed="false">
      <c r="A1" s="2" t="s">
        <v>189</v>
      </c>
    </row>
    <row r="2" customFormat="false" ht="15" hidden="false" customHeight="true" outlineLevel="0" collapsed="false">
      <c r="A2" s="13" t="s">
        <v>190</v>
      </c>
    </row>
    <row r="4" customFormat="false" ht="26.25" hidden="false" customHeight="true" outlineLevel="0" collapsed="false">
      <c r="A4" s="14" t="s">
        <v>160</v>
      </c>
      <c r="B4" s="14" t="s">
        <v>161</v>
      </c>
      <c r="C4" s="14" t="s">
        <v>162</v>
      </c>
      <c r="D4" s="14" t="s">
        <v>163</v>
      </c>
      <c r="E4" s="14" t="s">
        <v>164</v>
      </c>
      <c r="F4" s="14" t="s">
        <v>165</v>
      </c>
      <c r="G4" s="14" t="s">
        <v>166</v>
      </c>
    </row>
    <row r="5" customFormat="false" ht="15" hidden="false" customHeight="true" outlineLevel="0" collapsed="false">
      <c r="A5" s="24" t="s">
        <v>139</v>
      </c>
      <c r="B5" s="24" t="s">
        <v>191</v>
      </c>
      <c r="C5" s="24" t="s">
        <v>191</v>
      </c>
      <c r="D5" s="24" t="s">
        <v>191</v>
      </c>
      <c r="E5" s="24" t="s">
        <v>191</v>
      </c>
      <c r="F5" s="18" t="n">
        <v>693</v>
      </c>
      <c r="G5" s="25" t="s">
        <v>192</v>
      </c>
    </row>
    <row r="6" customFormat="false" ht="15" hidden="false" customHeight="true" outlineLevel="0" collapsed="false">
      <c r="A6" s="24" t="s">
        <v>140</v>
      </c>
      <c r="B6" s="18" t="n">
        <v>693</v>
      </c>
      <c r="C6" s="18" t="n">
        <v>25807.71</v>
      </c>
      <c r="D6" s="18" t="n">
        <v>21375.56</v>
      </c>
      <c r="E6" s="18" t="n">
        <f aca="false">C6-D6</f>
        <v>4432.15</v>
      </c>
      <c r="F6" s="18" t="n">
        <v>5125.15</v>
      </c>
      <c r="G6" s="25" t="s">
        <v>193</v>
      </c>
    </row>
    <row r="7" customFormat="false" ht="15" hidden="false" customHeight="true" outlineLevel="0" collapsed="false">
      <c r="A7" s="24" t="s">
        <v>141</v>
      </c>
      <c r="B7" s="18" t="n">
        <v>5125.15</v>
      </c>
      <c r="C7" s="18" t="n">
        <v>48804.03</v>
      </c>
      <c r="D7" s="18" t="n">
        <v>46427.94</v>
      </c>
      <c r="E7" s="18" t="n">
        <f aca="false">C7-D7</f>
        <v>2376.09</v>
      </c>
      <c r="F7" s="18" t="n">
        <v>7501.24</v>
      </c>
      <c r="G7" s="25" t="s">
        <v>194</v>
      </c>
    </row>
    <row r="8" customFormat="false" ht="15" hidden="false" customHeight="true" outlineLevel="0" collapsed="false">
      <c r="A8" s="24" t="s">
        <v>142</v>
      </c>
      <c r="B8" s="18" t="n">
        <v>7501.24</v>
      </c>
      <c r="C8" s="18" t="n">
        <v>81007.82</v>
      </c>
      <c r="D8" s="18" t="n">
        <v>75223.4</v>
      </c>
      <c r="E8" s="18" t="n">
        <f aca="false">C8-D8</f>
        <v>5784.42000000001</v>
      </c>
      <c r="F8" s="18" t="n">
        <v>13285.66</v>
      </c>
      <c r="G8" s="25" t="s">
        <v>195</v>
      </c>
    </row>
    <row r="9" customFormat="false" ht="15" hidden="false" customHeight="true" outlineLevel="0" collapsed="false">
      <c r="A9" s="24" t="s">
        <v>143</v>
      </c>
      <c r="B9" s="18" t="n">
        <v>13285.66</v>
      </c>
      <c r="C9" s="18" t="n">
        <v>25030.84</v>
      </c>
      <c r="D9" s="18" t="n">
        <v>38225.46</v>
      </c>
      <c r="E9" s="18" t="n">
        <f aca="false">C9-D9</f>
        <v>-13194.62</v>
      </c>
      <c r="F9" s="18" t="n">
        <v>91.04</v>
      </c>
      <c r="G9" s="25" t="s">
        <v>196</v>
      </c>
    </row>
    <row r="10" customFormat="false" ht="15" hidden="false" customHeight="true" outlineLevel="0" collapsed="false">
      <c r="A10" s="24" t="s">
        <v>144</v>
      </c>
      <c r="B10" s="18" t="n">
        <v>91.04</v>
      </c>
      <c r="C10" s="18" t="n">
        <v>27815.44</v>
      </c>
      <c r="D10" s="18" t="n">
        <v>25429.62</v>
      </c>
      <c r="E10" s="18" t="n">
        <f aca="false">C10-D10</f>
        <v>2385.82</v>
      </c>
      <c r="F10" s="18" t="n">
        <v>2476.86</v>
      </c>
      <c r="G10" s="25" t="s">
        <v>197</v>
      </c>
    </row>
    <row r="11" customFormat="false" ht="15" hidden="false" customHeight="true" outlineLevel="0" collapsed="false">
      <c r="A11" s="24" t="s">
        <v>145</v>
      </c>
      <c r="B11" s="18" t="n">
        <v>2476.86</v>
      </c>
      <c r="C11" s="27" t="n">
        <v>26203.28</v>
      </c>
      <c r="D11" s="27" t="n">
        <v>28211.71</v>
      </c>
      <c r="E11" s="18" t="n">
        <f aca="false">C11-D11</f>
        <v>-2008.43</v>
      </c>
      <c r="F11" s="18" t="n">
        <v>468.43</v>
      </c>
      <c r="G11" s="25" t="s">
        <v>198</v>
      </c>
    </row>
    <row r="12" customFormat="false" ht="15" hidden="false" customHeight="true" outlineLevel="0" collapsed="false">
      <c r="A12" s="24" t="s">
        <v>146</v>
      </c>
      <c r="B12" s="18" t="n">
        <v>468.43</v>
      </c>
      <c r="C12" s="18" t="n">
        <v>13030.68</v>
      </c>
      <c r="D12" s="18" t="n">
        <v>11219.9</v>
      </c>
      <c r="E12" s="18" t="n">
        <f aca="false">C12-D12</f>
        <v>1810.78</v>
      </c>
      <c r="F12" s="18" t="n">
        <v>2279.21</v>
      </c>
      <c r="G12" s="25" t="s">
        <v>199</v>
      </c>
    </row>
    <row r="13" customFormat="false" ht="15" hidden="false" customHeight="true" outlineLevel="0" collapsed="false">
      <c r="A13" s="24" t="s">
        <v>147</v>
      </c>
      <c r="B13" s="18" t="n">
        <v>2279.21</v>
      </c>
      <c r="C13" s="18" t="n">
        <v>14740.57</v>
      </c>
      <c r="D13" s="18" t="n">
        <v>16268.14</v>
      </c>
      <c r="E13" s="18" t="n">
        <f aca="false">C13-D13</f>
        <v>-1527.57</v>
      </c>
      <c r="F13" s="18" t="n">
        <v>751.64</v>
      </c>
      <c r="G13" s="25" t="s">
        <v>200</v>
      </c>
    </row>
    <row r="14" customFormat="false" ht="15" hidden="false" customHeight="true" outlineLevel="0" collapsed="false">
      <c r="A14" s="24" t="s">
        <v>148</v>
      </c>
      <c r="B14" s="18" t="n">
        <v>751.64</v>
      </c>
      <c r="C14" s="18" t="n">
        <v>17349.91</v>
      </c>
      <c r="D14" s="18" t="n">
        <v>13473.34</v>
      </c>
      <c r="E14" s="18" t="n">
        <f aca="false">C14-D14</f>
        <v>3876.57</v>
      </c>
      <c r="F14" s="18" t="n">
        <v>4628.21</v>
      </c>
      <c r="G14" s="25" t="s">
        <v>201</v>
      </c>
    </row>
    <row r="15" customFormat="false" ht="15" hidden="false" customHeight="true" outlineLevel="0" collapsed="false">
      <c r="A15" s="24" t="s">
        <v>149</v>
      </c>
      <c r="B15" s="18" t="n">
        <v>4628.21</v>
      </c>
      <c r="C15" s="18" t="n">
        <v>26217.23</v>
      </c>
      <c r="D15" s="18" t="n">
        <v>15394.51</v>
      </c>
      <c r="E15" s="18" t="n">
        <f aca="false">C15-D15</f>
        <v>10822.72</v>
      </c>
      <c r="F15" s="18" t="n">
        <v>15450.93</v>
      </c>
      <c r="G15" s="25" t="s">
        <v>202</v>
      </c>
    </row>
    <row r="16" customFormat="false" ht="15" hidden="false" customHeight="true" outlineLevel="0" collapsed="false">
      <c r="A16" s="24" t="s">
        <v>150</v>
      </c>
      <c r="B16" s="18" t="n">
        <v>15450.93</v>
      </c>
      <c r="C16" s="18" t="n">
        <v>63280.36</v>
      </c>
      <c r="D16" s="18" t="n">
        <v>68880.9</v>
      </c>
      <c r="E16" s="18" t="n">
        <f aca="false">C16-D16</f>
        <v>-5600.53999999999</v>
      </c>
      <c r="F16" s="18" t="n">
        <v>9850.39</v>
      </c>
      <c r="G16" s="25" t="s">
        <v>203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6" min="2" style="1" width="16"/>
    <col collapsed="false" customWidth="true" hidden="false" outlineLevel="0" max="7" min="7" style="1" width="34"/>
  </cols>
  <sheetData>
    <row r="1" customFormat="false" ht="17.25" hidden="false" customHeight="true" outlineLevel="0" collapsed="false">
      <c r="A1" s="2" t="s">
        <v>204</v>
      </c>
    </row>
    <row r="2" customFormat="false" ht="15" hidden="false" customHeight="true" outlineLevel="0" collapsed="false">
      <c r="A2" s="13" t="s">
        <v>205</v>
      </c>
    </row>
    <row r="4" customFormat="false" ht="26.25" hidden="false" customHeight="true" outlineLevel="0" collapsed="false">
      <c r="A4" s="14" t="s">
        <v>160</v>
      </c>
      <c r="B4" s="14" t="s">
        <v>161</v>
      </c>
      <c r="C4" s="14" t="s">
        <v>162</v>
      </c>
      <c r="D4" s="14" t="s">
        <v>163</v>
      </c>
      <c r="E4" s="14" t="s">
        <v>164</v>
      </c>
      <c r="F4" s="14" t="s">
        <v>165</v>
      </c>
      <c r="G4" s="14" t="s">
        <v>166</v>
      </c>
    </row>
    <row r="5" customFormat="false" ht="15" hidden="false" customHeight="true" outlineLevel="0" collapsed="false">
      <c r="A5" s="24" t="s">
        <v>139</v>
      </c>
      <c r="B5" s="18" t="n">
        <v>9850.39</v>
      </c>
      <c r="C5" s="18" t="n">
        <v>24334.49</v>
      </c>
      <c r="D5" s="18" t="n">
        <v>26135.5</v>
      </c>
      <c r="E5" s="18" t="n">
        <f aca="false">C5-D5</f>
        <v>-1801.01</v>
      </c>
      <c r="F5" s="18" t="n">
        <v>8049.38</v>
      </c>
      <c r="G5" s="25" t="s">
        <v>206</v>
      </c>
    </row>
    <row r="6" customFormat="false" ht="15" hidden="false" customHeight="true" outlineLevel="0" collapsed="false">
      <c r="A6" s="24" t="s">
        <v>140</v>
      </c>
      <c r="B6" s="18" t="n">
        <v>8049.38</v>
      </c>
      <c r="C6" s="18" t="n">
        <v>23423.13</v>
      </c>
      <c r="D6" s="18" t="n">
        <v>28509.44</v>
      </c>
      <c r="E6" s="18" t="n">
        <f aca="false">C6-D6</f>
        <v>-5086.31</v>
      </c>
      <c r="F6" s="18" t="n">
        <v>2963.07</v>
      </c>
      <c r="G6" s="25" t="s">
        <v>207</v>
      </c>
    </row>
    <row r="7" customFormat="false" ht="15" hidden="false" customHeight="true" outlineLevel="0" collapsed="false">
      <c r="A7" s="24" t="s">
        <v>141</v>
      </c>
      <c r="B7" s="18" t="n">
        <v>2963.07</v>
      </c>
      <c r="C7" s="18" t="n">
        <v>9789.14</v>
      </c>
      <c r="D7" s="18" t="n">
        <v>12172.75</v>
      </c>
      <c r="E7" s="18" t="n">
        <f aca="false">C7-D7</f>
        <v>-2383.61</v>
      </c>
      <c r="F7" s="18" t="n">
        <v>579.46</v>
      </c>
      <c r="G7" s="25" t="s">
        <v>208</v>
      </c>
    </row>
    <row r="8" customFormat="false" ht="15" hidden="false" customHeight="true" outlineLevel="0" collapsed="false">
      <c r="A8" s="24" t="s">
        <v>142</v>
      </c>
      <c r="B8" s="18" t="n">
        <v>579.46</v>
      </c>
      <c r="C8" s="18" t="n">
        <v>10017.23</v>
      </c>
      <c r="D8" s="18" t="n">
        <v>7676.37</v>
      </c>
      <c r="E8" s="18" t="n">
        <f aca="false">C8-D8</f>
        <v>2340.86</v>
      </c>
      <c r="F8" s="18" t="n">
        <v>2920.32</v>
      </c>
      <c r="G8" s="25" t="s">
        <v>209</v>
      </c>
    </row>
    <row r="9" customFormat="false" ht="15" hidden="false" customHeight="true" outlineLevel="0" collapsed="false">
      <c r="A9" s="24" t="s">
        <v>143</v>
      </c>
      <c r="B9" s="18" t="n">
        <v>2920.32</v>
      </c>
      <c r="C9" s="18" t="n">
        <v>14692.68</v>
      </c>
      <c r="D9" s="18" t="n">
        <v>14041.14</v>
      </c>
      <c r="E9" s="18" t="n">
        <f aca="false">C9-D9</f>
        <v>651.540000000001</v>
      </c>
      <c r="F9" s="18" t="n">
        <v>3571.86</v>
      </c>
      <c r="G9" s="25" t="s">
        <v>210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4" min="2" style="1" width="22"/>
  </cols>
  <sheetData>
    <row r="1" customFormat="false" ht="17.25" hidden="false" customHeight="true" outlineLevel="0" collapsed="false">
      <c r="A1" s="2" t="s">
        <v>211</v>
      </c>
    </row>
    <row r="2" customFormat="false" ht="15" hidden="false" customHeight="true" outlineLevel="0" collapsed="false">
      <c r="A2" s="13" t="s">
        <v>212</v>
      </c>
    </row>
    <row r="4" customFormat="false" ht="26.25" hidden="false" customHeight="true" outlineLevel="0" collapsed="false">
      <c r="A4" s="14" t="s">
        <v>138</v>
      </c>
      <c r="B4" s="14" t="s">
        <v>213</v>
      </c>
      <c r="C4" s="14" t="s">
        <v>214</v>
      </c>
      <c r="D4" s="14" t="s">
        <v>215</v>
      </c>
    </row>
    <row r="5" customFormat="false" ht="15" hidden="false" customHeight="true" outlineLevel="0" collapsed="false">
      <c r="A5" s="17" t="s">
        <v>216</v>
      </c>
      <c r="B5" s="18" t="n">
        <v>6206.6</v>
      </c>
      <c r="C5" s="18" t="n">
        <v>9850.39</v>
      </c>
      <c r="D5" s="18" t="n">
        <v>3571.86</v>
      </c>
    </row>
    <row r="6" customFormat="false" ht="15" hidden="false" customHeight="true" outlineLevel="0" collapsed="false">
      <c r="A6" s="17" t="s">
        <v>217</v>
      </c>
      <c r="B6" s="25" t="s">
        <v>218</v>
      </c>
      <c r="C6" s="18" t="n">
        <v>95400</v>
      </c>
      <c r="D6" s="18" t="n">
        <v>95400</v>
      </c>
    </row>
    <row r="7" customFormat="false" ht="15" hidden="false" customHeight="true" outlineLevel="0" collapsed="false">
      <c r="A7" s="17" t="s">
        <v>219</v>
      </c>
      <c r="B7" s="25" t="s">
        <v>191</v>
      </c>
      <c r="C7" s="18" t="n">
        <v>1800</v>
      </c>
      <c r="D7" s="18" t="n">
        <v>1800</v>
      </c>
    </row>
    <row r="8" customFormat="false" ht="15" hidden="false" customHeight="true" outlineLevel="0" collapsed="false">
      <c r="A8" s="17" t="s">
        <v>220</v>
      </c>
      <c r="B8" s="25" t="s">
        <v>191</v>
      </c>
      <c r="C8" s="18" t="n">
        <v>5000</v>
      </c>
      <c r="D8" s="18" t="n">
        <v>5000</v>
      </c>
    </row>
    <row r="9" customFormat="false" ht="15" hidden="false" customHeight="true" outlineLevel="0" collapsed="false">
      <c r="A9" s="17" t="s">
        <v>221</v>
      </c>
      <c r="B9" s="25" t="s">
        <v>191</v>
      </c>
      <c r="C9" s="18" t="n">
        <v>100000</v>
      </c>
      <c r="D9" s="18" t="n">
        <v>100000</v>
      </c>
    </row>
    <row r="10" customFormat="false" ht="15" hidden="false" customHeight="true" outlineLevel="0" collapsed="false">
      <c r="A10" s="7" t="s">
        <v>222</v>
      </c>
      <c r="B10" s="29" t="n">
        <v>6206.6</v>
      </c>
      <c r="C10" s="29" t="n">
        <f aca="false">SUM(C5:C9)</f>
        <v>212050.39</v>
      </c>
      <c r="D10" s="29" t="n">
        <f aca="false">SUM(D5:D9)</f>
        <v>205771.86</v>
      </c>
    </row>
    <row r="11" customFormat="false" ht="15" hidden="false" customHeight="true" outlineLevel="0" collapsed="false">
      <c r="A11" s="17" t="s">
        <v>223</v>
      </c>
      <c r="B11" s="25" t="s">
        <v>224</v>
      </c>
      <c r="C11" s="18" t="n">
        <v>22060</v>
      </c>
      <c r="D11" s="18" t="n">
        <v>22055.63</v>
      </c>
    </row>
    <row r="12" customFormat="false" ht="15" hidden="false" customHeight="true" outlineLevel="0" collapsed="false">
      <c r="A12" s="30" t="s">
        <v>225</v>
      </c>
      <c r="B12" s="25" t="s">
        <v>226</v>
      </c>
      <c r="C12" s="31" t="n">
        <v>25287</v>
      </c>
      <c r="D12" s="18" t="n">
        <v>13879</v>
      </c>
    </row>
    <row r="13" customFormat="false" ht="15" hidden="false" customHeight="true" outlineLevel="0" collapsed="false">
      <c r="A13" s="17" t="s">
        <v>227</v>
      </c>
      <c r="B13" s="25" t="s">
        <v>191</v>
      </c>
      <c r="C13" s="18" t="n">
        <v>54682.9</v>
      </c>
      <c r="D13" s="18" t="n">
        <v>45574.12</v>
      </c>
    </row>
    <row r="14" customFormat="false" ht="15" hidden="false" customHeight="true" outlineLevel="0" collapsed="false">
      <c r="A14" s="7" t="s">
        <v>228</v>
      </c>
      <c r="B14" s="29"/>
      <c r="C14" s="29" t="n">
        <f aca="false">SUM(C11:C13)</f>
        <v>102029.9</v>
      </c>
      <c r="D14" s="29" t="n">
        <f aca="false">SUM(D11:D13)</f>
        <v>81508.75</v>
      </c>
    </row>
    <row r="15" customFormat="false" ht="15" hidden="false" customHeight="true" outlineLevel="0" collapsed="false">
      <c r="A15" s="32" t="s">
        <v>229</v>
      </c>
      <c r="B15" s="33" t="n">
        <v>29000</v>
      </c>
      <c r="C15" s="34" t="n">
        <v>4000</v>
      </c>
      <c r="D15" s="34" t="n">
        <v>4000</v>
      </c>
    </row>
    <row r="16" customFormat="false" ht="15" hidden="false" customHeight="true" outlineLevel="0" collapsed="false">
      <c r="A16" s="7" t="s">
        <v>230</v>
      </c>
      <c r="B16" s="7"/>
      <c r="C16" s="7" t="n">
        <f aca="false">C10-C14</f>
        <v>110020.49</v>
      </c>
      <c r="D16" s="7" t="n">
        <f aca="false">D10-D14</f>
        <v>124263.11</v>
      </c>
    </row>
    <row r="17" customFormat="false" ht="87.75" hidden="false" customHeight="true" outlineLevel="0" collapsed="false">
      <c r="A17" s="8" t="s">
        <v>231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3" min="2" style="1" width="22"/>
  </cols>
  <sheetData>
    <row r="1" customFormat="false" ht="17.25" hidden="false" customHeight="true" outlineLevel="0" collapsed="false">
      <c r="A1" s="2" t="s">
        <v>232</v>
      </c>
    </row>
    <row r="2" customFormat="false" ht="15" hidden="false" customHeight="true" outlineLevel="0" collapsed="false">
      <c r="A2" s="13" t="s">
        <v>233</v>
      </c>
    </row>
    <row r="4" customFormat="false" ht="26.25" hidden="false" customHeight="true" outlineLevel="0" collapsed="false">
      <c r="A4" s="14" t="s">
        <v>234</v>
      </c>
      <c r="B4" s="14" t="s">
        <v>235</v>
      </c>
      <c r="C4" s="14" t="s">
        <v>236</v>
      </c>
    </row>
    <row r="5" customFormat="false" ht="15" hidden="false" customHeight="true" outlineLevel="0" collapsed="false">
      <c r="A5" s="1" t="s">
        <v>216</v>
      </c>
      <c r="B5" s="18" t="n">
        <v>9850.39</v>
      </c>
      <c r="C5" s="18" t="n">
        <v>3571.86</v>
      </c>
    </row>
    <row r="6" customFormat="false" ht="15" hidden="false" customHeight="true" outlineLevel="0" collapsed="false">
      <c r="A6" s="1" t="s">
        <v>217</v>
      </c>
      <c r="B6" s="18" t="n">
        <v>95400</v>
      </c>
      <c r="C6" s="18" t="n">
        <v>95400</v>
      </c>
    </row>
    <row r="7" customFormat="false" ht="15" hidden="false" customHeight="true" outlineLevel="0" collapsed="false">
      <c r="A7" s="1" t="s">
        <v>219</v>
      </c>
      <c r="B7" s="18" t="n">
        <v>1800</v>
      </c>
      <c r="C7" s="18" t="n">
        <v>1800</v>
      </c>
    </row>
    <row r="8" customFormat="false" ht="15" hidden="false" customHeight="true" outlineLevel="0" collapsed="false">
      <c r="A8" s="1" t="s">
        <v>220</v>
      </c>
      <c r="B8" s="18" t="n">
        <v>5000</v>
      </c>
      <c r="C8" s="18" t="n">
        <v>5000</v>
      </c>
    </row>
    <row r="9" customFormat="false" ht="15" hidden="false" customHeight="true" outlineLevel="0" collapsed="false">
      <c r="A9" s="1" t="s">
        <v>237</v>
      </c>
      <c r="B9" s="18" t="n">
        <v>100000</v>
      </c>
      <c r="C9" s="18" t="n">
        <v>100000</v>
      </c>
    </row>
    <row r="10" customFormat="false" ht="15" hidden="false" customHeight="true" outlineLevel="0" collapsed="false">
      <c r="A10" s="1" t="s">
        <v>238</v>
      </c>
      <c r="B10" s="18" t="n">
        <v>-22060</v>
      </c>
      <c r="C10" s="18" t="n">
        <v>-22055.63</v>
      </c>
    </row>
    <row r="11" customFormat="false" ht="15" hidden="false" customHeight="true" outlineLevel="0" collapsed="false">
      <c r="A11" s="24" t="s">
        <v>225</v>
      </c>
      <c r="B11" s="31" t="n">
        <v>-25287</v>
      </c>
      <c r="C11" s="18" t="n">
        <v>-13879</v>
      </c>
    </row>
    <row r="12" customFormat="false" ht="15" hidden="false" customHeight="true" outlineLevel="0" collapsed="false">
      <c r="A12" s="1" t="s">
        <v>239</v>
      </c>
      <c r="B12" s="18" t="n">
        <v>-54682.9</v>
      </c>
      <c r="C12" s="18" t="n">
        <v>-45574.12</v>
      </c>
    </row>
    <row r="13" customFormat="false" ht="15" hidden="false" customHeight="true" outlineLevel="0" collapsed="false">
      <c r="A13" s="1" t="s">
        <v>240</v>
      </c>
      <c r="B13" s="18" t="n">
        <v>-369980.87</v>
      </c>
      <c r="C13" s="25" t="s">
        <v>191</v>
      </c>
    </row>
    <row r="14" customFormat="false" ht="15" hidden="false" customHeight="true" outlineLevel="0" collapsed="false">
      <c r="A14" s="1" t="s">
        <v>241</v>
      </c>
      <c r="B14" s="18" t="n">
        <v>360130.48</v>
      </c>
      <c r="C14" s="25" t="s">
        <v>191</v>
      </c>
    </row>
    <row r="15" customFormat="false" ht="42" hidden="false" customHeight="true" outlineLevel="0" collapsed="false">
      <c r="A15" s="35" t="s">
        <v>242</v>
      </c>
      <c r="B15" s="34" t="s">
        <v>243</v>
      </c>
      <c r="C15" s="34" t="s">
        <v>243</v>
      </c>
    </row>
    <row r="17" customFormat="false" ht="15" hidden="false" customHeight="true" outlineLevel="0" collapsed="false">
      <c r="A17" s="7" t="s">
        <v>244</v>
      </c>
      <c r="B17" s="7" t="n">
        <f aca="false">-(SUM(B5:B12)+B13+B14)</f>
        <v>-100170.1</v>
      </c>
      <c r="C17" s="7" t="n">
        <f aca="false">-SUM(C5:C12)</f>
        <v>-124263.11</v>
      </c>
    </row>
    <row r="18" customFormat="false" ht="15" hidden="false" customHeight="true" outlineLevel="0" collapsed="false">
      <c r="A18" s="7" t="s">
        <v>245</v>
      </c>
      <c r="B18" s="7" t="n">
        <f aca="false">SUM(B5:B14)+B17</f>
        <v>0</v>
      </c>
      <c r="C18" s="7" t="n">
        <f aca="false">SUM(C5:C12)+C17</f>
        <v>0</v>
      </c>
    </row>
    <row r="19" customFormat="false" ht="42" hidden="false" customHeight="true" outlineLevel="0" collapsed="false">
      <c r="A19" s="8" t="s">
        <v>246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2"/>
    <col collapsed="false" customWidth="true" hidden="false" outlineLevel="0" max="6" min="2" style="1" width="18"/>
  </cols>
  <sheetData>
    <row r="1" customFormat="false" ht="17.25" hidden="false" customHeight="true" outlineLevel="0" collapsed="false">
      <c r="A1" s="10" t="s">
        <v>247</v>
      </c>
    </row>
    <row r="2" customFormat="false" ht="72" hidden="false" customHeight="true" outlineLevel="0" collapsed="false">
      <c r="A2" s="8" t="s">
        <v>248</v>
      </c>
    </row>
    <row r="4" customFormat="false" ht="15" hidden="false" customHeight="true" outlineLevel="0" collapsed="false">
      <c r="A4" s="11" t="s">
        <v>32</v>
      </c>
      <c r="B4" s="11" t="s">
        <v>249</v>
      </c>
      <c r="C4" s="11" t="s">
        <v>250</v>
      </c>
      <c r="D4" s="11" t="s">
        <v>251</v>
      </c>
      <c r="E4" s="11" t="s">
        <v>252</v>
      </c>
      <c r="F4" s="11" t="s">
        <v>253</v>
      </c>
    </row>
    <row r="5" customFormat="false" ht="15" hidden="false" customHeight="true" outlineLevel="0" collapsed="false">
      <c r="A5" s="11" t="s">
        <v>254</v>
      </c>
      <c r="B5" s="11"/>
      <c r="C5" s="11"/>
      <c r="D5" s="11"/>
      <c r="E5" s="11"/>
      <c r="F5" s="11"/>
    </row>
    <row r="6" customFormat="false" ht="15" hidden="false" customHeight="true" outlineLevel="0" collapsed="false">
      <c r="A6" s="1" t="s">
        <v>255</v>
      </c>
      <c r="B6" s="1" t="s">
        <v>256</v>
      </c>
      <c r="C6" s="1" t="n">
        <v>0</v>
      </c>
      <c r="D6" s="1" t="n">
        <v>0</v>
      </c>
      <c r="E6" s="1" t="n">
        <v>0</v>
      </c>
      <c r="F6" s="1" t="n">
        <v>0</v>
      </c>
    </row>
    <row r="7" customFormat="false" ht="15" hidden="false" customHeight="true" outlineLevel="0" collapsed="false">
      <c r="A7" s="1" t="s">
        <v>257</v>
      </c>
      <c r="B7" s="1" t="s">
        <v>256</v>
      </c>
      <c r="C7" s="1" t="s">
        <v>258</v>
      </c>
      <c r="D7" s="1" t="s">
        <v>258</v>
      </c>
      <c r="E7" s="1" t="s">
        <v>258</v>
      </c>
      <c r="F7" s="1" t="s">
        <v>258</v>
      </c>
    </row>
    <row r="8" customFormat="false" ht="15" hidden="false" customHeight="true" outlineLevel="0" collapsed="false">
      <c r="A8" s="11" t="s">
        <v>259</v>
      </c>
      <c r="B8" s="11"/>
      <c r="C8" s="11"/>
      <c r="D8" s="11"/>
      <c r="E8" s="11"/>
      <c r="F8" s="11"/>
    </row>
    <row r="9" customFormat="false" ht="15" hidden="false" customHeight="true" outlineLevel="0" collapsed="false">
      <c r="A9" s="1" t="s">
        <v>260</v>
      </c>
      <c r="B9" s="1" t="s">
        <v>256</v>
      </c>
      <c r="C9" s="1" t="n">
        <v>0</v>
      </c>
      <c r="D9" s="1" t="n">
        <v>0</v>
      </c>
      <c r="E9" s="1" t="n">
        <v>0</v>
      </c>
      <c r="F9" s="1" t="n">
        <v>0</v>
      </c>
    </row>
    <row r="10" customFormat="false" ht="15" hidden="false" customHeight="true" outlineLevel="0" collapsed="false">
      <c r="A10" s="1" t="s">
        <v>261</v>
      </c>
      <c r="B10" s="1" t="s">
        <v>262</v>
      </c>
      <c r="C10" s="1" t="s">
        <v>263</v>
      </c>
      <c r="D10" s="1" t="s">
        <v>263</v>
      </c>
      <c r="E10" s="1" t="n">
        <v>22060</v>
      </c>
      <c r="F10" s="1" t="n">
        <v>22060</v>
      </c>
    </row>
    <row r="11" customFormat="false" ht="15" hidden="false" customHeight="true" outlineLevel="0" collapsed="false">
      <c r="A11" s="1" t="s">
        <v>264</v>
      </c>
      <c r="B11" s="1" t="s">
        <v>262</v>
      </c>
      <c r="C11" s="1" t="s">
        <v>265</v>
      </c>
      <c r="D11" s="1" t="s">
        <v>265</v>
      </c>
      <c r="E11" s="1" t="n">
        <v>54682.9</v>
      </c>
      <c r="F11" s="1" t="n">
        <v>45574.12</v>
      </c>
    </row>
    <row r="12" customFormat="false" ht="15" hidden="false" customHeight="true" outlineLevel="0" collapsed="false">
      <c r="A12" s="1" t="s">
        <v>266</v>
      </c>
      <c r="B12" s="1" t="s">
        <v>262</v>
      </c>
      <c r="C12" s="1" t="s">
        <v>265</v>
      </c>
      <c r="D12" s="1" t="s">
        <v>265</v>
      </c>
      <c r="E12" s="1" t="n">
        <v>25287</v>
      </c>
      <c r="F12" s="1" t="n">
        <v>13879</v>
      </c>
    </row>
    <row r="13" customFormat="false" ht="15" hidden="false" customHeight="true" outlineLevel="0" collapsed="false">
      <c r="A13" s="1" t="s">
        <v>267</v>
      </c>
      <c r="B13" s="1" t="s">
        <v>268</v>
      </c>
      <c r="C13" s="1" t="n">
        <v>29000</v>
      </c>
      <c r="D13" s="1" t="n">
        <v>4000</v>
      </c>
      <c r="E13" s="1" t="n">
        <v>4000</v>
      </c>
      <c r="F13" s="1" t="n">
        <v>4000</v>
      </c>
    </row>
    <row r="15" customFormat="false" ht="60" hidden="false" customHeight="true" outlineLevel="0" collapsed="false">
      <c r="A15" s="8" t="s">
        <v>269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4" min="2" style="1" width="18"/>
  </cols>
  <sheetData>
    <row r="1" customFormat="false" ht="17.25" hidden="false" customHeight="true" outlineLevel="0" collapsed="false">
      <c r="A1" s="2" t="s">
        <v>270</v>
      </c>
    </row>
    <row r="2" customFormat="false" ht="15" hidden="false" customHeight="true" outlineLevel="0" collapsed="false">
      <c r="A2" s="13" t="s">
        <v>271</v>
      </c>
    </row>
    <row r="4" customFormat="false" ht="15" hidden="false" customHeight="true" outlineLevel="0" collapsed="false">
      <c r="A4" s="14" t="s">
        <v>272</v>
      </c>
      <c r="B4" s="14" t="s">
        <v>273</v>
      </c>
      <c r="C4" s="14" t="s">
        <v>274</v>
      </c>
      <c r="D4" s="14" t="s">
        <v>275</v>
      </c>
    </row>
    <row r="5" customFormat="false" ht="15" hidden="false" customHeight="true" outlineLevel="0" collapsed="false">
      <c r="A5" s="1" t="s">
        <v>87</v>
      </c>
      <c r="B5" s="18" t="n">
        <v>418990</v>
      </c>
      <c r="C5" s="18" t="n">
        <v>369980.87</v>
      </c>
      <c r="D5" s="18" t="n">
        <v>130976.23</v>
      </c>
    </row>
    <row r="6" customFormat="false" ht="15" hidden="false" customHeight="true" outlineLevel="0" collapsed="false">
      <c r="A6" s="1" t="s">
        <v>276</v>
      </c>
      <c r="B6" s="18" t="n">
        <v>150577</v>
      </c>
      <c r="C6" s="18" t="n">
        <v>105777.57</v>
      </c>
      <c r="D6" s="18" t="n">
        <v>8873.49</v>
      </c>
    </row>
    <row r="7" customFormat="false" ht="15" hidden="false" customHeight="true" outlineLevel="0" collapsed="false">
      <c r="A7" s="15" t="s">
        <v>277</v>
      </c>
      <c r="B7" s="20" t="n">
        <f aca="false">B5-B6</f>
        <v>268413</v>
      </c>
      <c r="C7" s="20" t="n">
        <f aca="false">C5-C6</f>
        <v>264203.3</v>
      </c>
      <c r="D7" s="20" t="n">
        <f aca="false">D5-D6</f>
        <v>122102.74</v>
      </c>
    </row>
    <row r="8" customFormat="false" ht="15" hidden="false" customHeight="true" outlineLevel="0" collapsed="false">
      <c r="A8" s="15" t="s">
        <v>278</v>
      </c>
      <c r="B8" s="36" t="n">
        <f aca="false">B7/B5</f>
        <v>0.640619107854603</v>
      </c>
      <c r="C8" s="36" t="n">
        <f aca="false">C7/C5</f>
        <v>0.714099893867486</v>
      </c>
      <c r="D8" s="36" t="n">
        <f aca="false">D7/D5</f>
        <v>0.932251142058372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37" min="2" style="1" width="10"/>
  </cols>
  <sheetData>
    <row r="1" customFormat="false" ht="17.25" hidden="false" customHeight="true" outlineLevel="0" collapsed="false">
      <c r="A1" s="2" t="s">
        <v>279</v>
      </c>
    </row>
    <row r="2" customFormat="false" ht="15" hidden="false" customHeight="true" outlineLevel="0" collapsed="false">
      <c r="A2" s="13" t="s">
        <v>280</v>
      </c>
    </row>
    <row r="4" customFormat="false" ht="15" hidden="false" customHeight="true" outlineLevel="0" collapsed="false">
      <c r="A4" s="15" t="s">
        <v>281</v>
      </c>
    </row>
    <row r="5" customFormat="false" ht="15" hidden="false" customHeight="true" outlineLevel="0" collapsed="false">
      <c r="A5" s="1" t="s">
        <v>282</v>
      </c>
      <c r="B5" s="37" t="n">
        <v>16451.33</v>
      </c>
    </row>
    <row r="6" customFormat="false" ht="15" hidden="false" customHeight="true" outlineLevel="0" collapsed="false">
      <c r="A6" s="1" t="s">
        <v>283</v>
      </c>
      <c r="B6" s="37" t="n">
        <v>17707.04</v>
      </c>
    </row>
    <row r="7" customFormat="false" ht="15" hidden="false" customHeight="true" outlineLevel="0" collapsed="false">
      <c r="A7" s="1" t="s">
        <v>284</v>
      </c>
      <c r="B7" s="38" t="n">
        <v>0.02</v>
      </c>
    </row>
    <row r="8" customFormat="false" ht="15" hidden="false" customHeight="true" outlineLevel="0" collapsed="false">
      <c r="A8" s="1" t="s">
        <v>285</v>
      </c>
      <c r="B8" s="38" t="n">
        <v>0.01</v>
      </c>
    </row>
    <row r="9" customFormat="false" ht="15" hidden="false" customHeight="true" outlineLevel="0" collapsed="false">
      <c r="A9" s="1" t="s">
        <v>286</v>
      </c>
    </row>
    <row r="11" customFormat="false" ht="15" hidden="false" customHeight="true" outlineLevel="0" collapsed="false">
      <c r="A11" s="14" t="s">
        <v>160</v>
      </c>
      <c r="B11" s="14" t="s">
        <v>287</v>
      </c>
      <c r="C11" s="14" t="s">
        <v>288</v>
      </c>
      <c r="D11" s="14" t="s">
        <v>289</v>
      </c>
      <c r="E11" s="14" t="s">
        <v>290</v>
      </c>
      <c r="F11" s="14" t="s">
        <v>291</v>
      </c>
      <c r="G11" s="14" t="s">
        <v>292</v>
      </c>
      <c r="H11" s="14" t="s">
        <v>293</v>
      </c>
      <c r="I11" s="14" t="s">
        <v>294</v>
      </c>
      <c r="J11" s="14" t="s">
        <v>295</v>
      </c>
      <c r="K11" s="14" t="s">
        <v>296</v>
      </c>
      <c r="L11" s="14" t="s">
        <v>297</v>
      </c>
      <c r="M11" s="14" t="s">
        <v>298</v>
      </c>
      <c r="N11" s="14" t="s">
        <v>299</v>
      </c>
      <c r="O11" s="14" t="s">
        <v>300</v>
      </c>
      <c r="P11" s="14" t="s">
        <v>301</v>
      </c>
      <c r="Q11" s="14" t="s">
        <v>302</v>
      </c>
      <c r="R11" s="14" t="s">
        <v>303</v>
      </c>
      <c r="S11" s="14" t="s">
        <v>304</v>
      </c>
      <c r="T11" s="14" t="s">
        <v>305</v>
      </c>
      <c r="U11" s="14" t="s">
        <v>306</v>
      </c>
      <c r="V11" s="14" t="s">
        <v>307</v>
      </c>
      <c r="W11" s="14" t="s">
        <v>308</v>
      </c>
      <c r="X11" s="14" t="s">
        <v>309</v>
      </c>
      <c r="Y11" s="14" t="s">
        <v>310</v>
      </c>
      <c r="Z11" s="14" t="s">
        <v>311</v>
      </c>
      <c r="AA11" s="14" t="s">
        <v>312</v>
      </c>
      <c r="AB11" s="14" t="s">
        <v>313</v>
      </c>
      <c r="AC11" s="14" t="s">
        <v>314</v>
      </c>
      <c r="AD11" s="14" t="s">
        <v>315</v>
      </c>
      <c r="AE11" s="14" t="s">
        <v>316</v>
      </c>
      <c r="AF11" s="14" t="s">
        <v>317</v>
      </c>
      <c r="AG11" s="14" t="s">
        <v>318</v>
      </c>
      <c r="AH11" s="14" t="s">
        <v>319</v>
      </c>
      <c r="AI11" s="14" t="s">
        <v>320</v>
      </c>
      <c r="AJ11" s="14" t="s">
        <v>321</v>
      </c>
      <c r="AK11" s="14" t="s">
        <v>322</v>
      </c>
    </row>
    <row r="12" customFormat="false" ht="15" hidden="false" customHeight="true" outlineLevel="0" collapsed="false">
      <c r="A12" s="1" t="s">
        <v>323</v>
      </c>
      <c r="B12" s="39" t="n">
        <f aca="false">$B$5</f>
        <v>16451.33</v>
      </c>
      <c r="C12" s="39" t="n">
        <f aca="false">B12*(1+$B$7)</f>
        <v>16780.3566</v>
      </c>
      <c r="D12" s="39" t="n">
        <f aca="false">C12*(1+$B$7)</f>
        <v>17115.963732</v>
      </c>
      <c r="E12" s="39" t="n">
        <f aca="false">D12*(1+$B$7)</f>
        <v>17458.28300664</v>
      </c>
      <c r="F12" s="39" t="n">
        <f aca="false">E12*(1+$B$7)</f>
        <v>17807.4486667728</v>
      </c>
      <c r="G12" s="39" t="n">
        <f aca="false">F12*(1+$B$7)</f>
        <v>18163.5976401083</v>
      </c>
      <c r="H12" s="39" t="n">
        <f aca="false">G12*(1+$B$7)</f>
        <v>18526.8695929104</v>
      </c>
      <c r="I12" s="39" t="n">
        <f aca="false">H12*(1+$B$7)</f>
        <v>18897.4069847686</v>
      </c>
      <c r="J12" s="39" t="n">
        <f aca="false">I12*(1+$B$7)</f>
        <v>19275.355124464</v>
      </c>
      <c r="K12" s="39" t="n">
        <f aca="false">J12*(1+$B$7)</f>
        <v>19660.8622269533</v>
      </c>
      <c r="L12" s="39" t="n">
        <f aca="false">K12*(1+$B$7)</f>
        <v>20054.0794714924</v>
      </c>
      <c r="M12" s="39" t="n">
        <f aca="false">L12*(1+$B$7)</f>
        <v>20455.1610609222</v>
      </c>
      <c r="N12" s="39" t="n">
        <f aca="false">M12*(1+$B$7)</f>
        <v>20864.2642821407</v>
      </c>
      <c r="O12" s="39" t="n">
        <f aca="false">N12*(1+$B$7)</f>
        <v>21281.5495677835</v>
      </c>
      <c r="P12" s="39" t="n">
        <f aca="false">O12*(1+$B$7)</f>
        <v>21707.1805591391</v>
      </c>
      <c r="Q12" s="39" t="n">
        <f aca="false">P12*(1+$B$7)</f>
        <v>22141.3241703219</v>
      </c>
      <c r="R12" s="39" t="n">
        <f aca="false">Q12*(1+$B$7)</f>
        <v>22584.1506537284</v>
      </c>
      <c r="S12" s="39" t="n">
        <f aca="false">R12*(1+$B$7)</f>
        <v>23035.8336668029</v>
      </c>
      <c r="T12" s="39" t="n">
        <f aca="false">S12*(1+$B$7)</f>
        <v>23496.550340139</v>
      </c>
      <c r="U12" s="39" t="n">
        <f aca="false">T12*(1+$B$7)</f>
        <v>23966.4813469418</v>
      </c>
      <c r="V12" s="39" t="n">
        <f aca="false">U12*(1+$B$7)</f>
        <v>24445.8109738806</v>
      </c>
      <c r="W12" s="39" t="n">
        <f aca="false">V12*(1+$B$7)</f>
        <v>24934.7271933582</v>
      </c>
      <c r="X12" s="39" t="n">
        <f aca="false">W12*(1+$B$7)</f>
        <v>25433.4217372254</v>
      </c>
      <c r="Y12" s="39" t="n">
        <f aca="false">X12*(1+$B$7)</f>
        <v>25942.0901719699</v>
      </c>
      <c r="Z12" s="39" t="n">
        <f aca="false">Y12*(1+$B$7)</f>
        <v>26460.9319754093</v>
      </c>
      <c r="AA12" s="39" t="n">
        <f aca="false">Z12*(1+$B$7)</f>
        <v>26990.1506149175</v>
      </c>
      <c r="AB12" s="39" t="n">
        <f aca="false">AA12*(1+$B$7)</f>
        <v>27529.9536272158</v>
      </c>
      <c r="AC12" s="39" t="n">
        <f aca="false">AB12*(1+$B$7)</f>
        <v>28080.5526997601</v>
      </c>
      <c r="AD12" s="39" t="n">
        <f aca="false">AC12*(1+$B$7)</f>
        <v>28642.1637537553</v>
      </c>
      <c r="AE12" s="39" t="n">
        <f aca="false">AD12*(1+$B$7)</f>
        <v>29215.0070288304</v>
      </c>
      <c r="AF12" s="39" t="n">
        <f aca="false">AE12*(1+$B$7)</f>
        <v>29799.3071694071</v>
      </c>
      <c r="AG12" s="39" t="n">
        <f aca="false">AF12*(1+$B$7)</f>
        <v>30395.2933127952</v>
      </c>
      <c r="AH12" s="39" t="n">
        <f aca="false">AG12*(1+$B$7)</f>
        <v>31003.1991790511</v>
      </c>
      <c r="AI12" s="39" t="n">
        <f aca="false">AH12*(1+$B$7)</f>
        <v>31623.2631626321</v>
      </c>
      <c r="AJ12" s="39" t="n">
        <f aca="false">AI12*(1+$B$7)</f>
        <v>32255.7284258848</v>
      </c>
      <c r="AK12" s="39" t="n">
        <f aca="false">AJ12*(1+$B$7)</f>
        <v>32900.8429944025</v>
      </c>
    </row>
    <row r="13" customFormat="false" ht="15" hidden="false" customHeight="true" outlineLevel="0" collapsed="false">
      <c r="A13" s="1" t="s">
        <v>324</v>
      </c>
      <c r="B13" s="39" t="n">
        <f aca="false">$B$6</f>
        <v>17707.04</v>
      </c>
      <c r="C13" s="39" t="n">
        <f aca="false">B13*(1+$B$8)</f>
        <v>17884.1104</v>
      </c>
      <c r="D13" s="39" t="n">
        <f aca="false">C13*(1+$B$8)</f>
        <v>18062.951504</v>
      </c>
      <c r="E13" s="39" t="n">
        <f aca="false">D13*(1+$B$8)</f>
        <v>18243.58101904</v>
      </c>
      <c r="F13" s="39" t="n">
        <f aca="false">E13*(1+$B$8)</f>
        <v>18426.0168292304</v>
      </c>
      <c r="G13" s="39" t="n">
        <f aca="false">F13*(1+$B$8)</f>
        <v>18610.2769975227</v>
      </c>
      <c r="H13" s="39" t="n">
        <f aca="false">G13*(1+$B$8)</f>
        <v>18796.3797674979</v>
      </c>
      <c r="I13" s="39" t="n">
        <f aca="false">H13*(1+$B$8)</f>
        <v>18984.3435651729</v>
      </c>
      <c r="J13" s="39" t="n">
        <f aca="false">I13*(1+$B$8)</f>
        <v>19174.1870008246</v>
      </c>
      <c r="K13" s="39" t="n">
        <f aca="false">J13*(1+$B$8)</f>
        <v>19365.9288708329</v>
      </c>
      <c r="L13" s="39" t="n">
        <f aca="false">K13*(1+$B$8)</f>
        <v>19559.5881595412</v>
      </c>
      <c r="M13" s="39" t="n">
        <f aca="false">L13*(1+$B$8)</f>
        <v>19755.1840411366</v>
      </c>
      <c r="N13" s="39" t="n">
        <f aca="false">M13*(1+$B$8)</f>
        <v>19952.735881548</v>
      </c>
      <c r="O13" s="39" t="n">
        <f aca="false">N13*(1+$B$8)</f>
        <v>20152.2632403635</v>
      </c>
      <c r="P13" s="39" t="n">
        <f aca="false">O13*(1+$B$8)</f>
        <v>20353.7858727671</v>
      </c>
      <c r="Q13" s="39" t="n">
        <f aca="false">P13*(1+$B$8)</f>
        <v>20557.3237314948</v>
      </c>
      <c r="R13" s="39" t="n">
        <f aca="false">Q13*(1+$B$8)</f>
        <v>20762.8969688097</v>
      </c>
      <c r="S13" s="39" t="n">
        <f aca="false">R13*(1+$B$8)</f>
        <v>20970.5259384978</v>
      </c>
      <c r="T13" s="39" t="n">
        <f aca="false">S13*(1+$B$8)</f>
        <v>21180.2311978828</v>
      </c>
      <c r="U13" s="39" t="n">
        <f aca="false">T13*(1+$B$8)</f>
        <v>21392.0335098616</v>
      </c>
      <c r="V13" s="39" t="n">
        <f aca="false">U13*(1+$B$8)</f>
        <v>21605.9538449602</v>
      </c>
      <c r="W13" s="39" t="n">
        <f aca="false">V13*(1+$B$8)</f>
        <v>21822.0133834098</v>
      </c>
      <c r="X13" s="39" t="n">
        <f aca="false">W13*(1+$B$8)</f>
        <v>22040.2335172439</v>
      </c>
      <c r="Y13" s="39" t="n">
        <f aca="false">X13*(1+$B$8)</f>
        <v>22260.6358524164</v>
      </c>
      <c r="Z13" s="39" t="n">
        <f aca="false">Y13*(1+$B$8)</f>
        <v>22483.2422109406</v>
      </c>
      <c r="AA13" s="39" t="n">
        <f aca="false">Z13*(1+$B$8)</f>
        <v>22708.07463305</v>
      </c>
      <c r="AB13" s="39" t="n">
        <f aca="false">AA13*(1+$B$8)</f>
        <v>22935.1553793805</v>
      </c>
      <c r="AC13" s="39" t="n">
        <f aca="false">AB13*(1+$B$8)</f>
        <v>23164.5069331743</v>
      </c>
      <c r="AD13" s="39" t="n">
        <f aca="false">AC13*(1+$B$8)</f>
        <v>23396.152002506</v>
      </c>
      <c r="AE13" s="39" t="n">
        <f aca="false">AD13*(1+$B$8)</f>
        <v>23630.1135225311</v>
      </c>
      <c r="AF13" s="39" t="n">
        <f aca="false">AE13*(1+$B$8)</f>
        <v>23866.4146577564</v>
      </c>
      <c r="AG13" s="39" t="n">
        <f aca="false">AF13*(1+$B$8)</f>
        <v>24105.0788043339</v>
      </c>
      <c r="AH13" s="39" t="n">
        <f aca="false">AG13*(1+$B$8)</f>
        <v>24346.1295923773</v>
      </c>
      <c r="AI13" s="39" t="n">
        <f aca="false">AH13*(1+$B$8)</f>
        <v>24589.5908883011</v>
      </c>
      <c r="AJ13" s="39" t="n">
        <f aca="false">AI13*(1+$B$8)</f>
        <v>24835.4867971841</v>
      </c>
      <c r="AK13" s="39" t="n">
        <f aca="false">AJ13*(1+$B$8)</f>
        <v>25083.8416651559</v>
      </c>
    </row>
    <row r="14" customFormat="false" ht="15" hidden="false" customHeight="true" outlineLevel="0" collapsed="false">
      <c r="A14" s="15" t="s">
        <v>325</v>
      </c>
      <c r="B14" s="40" t="n">
        <f aca="false">B12-B13</f>
        <v>-1255.71</v>
      </c>
      <c r="C14" s="40" t="n">
        <f aca="false">C12-C13</f>
        <v>-1103.7538</v>
      </c>
      <c r="D14" s="40" t="n">
        <f aca="false">D12-D13</f>
        <v>-946.987771999997</v>
      </c>
      <c r="E14" s="40" t="n">
        <f aca="false">E12-E13</f>
        <v>-785.298012399995</v>
      </c>
      <c r="F14" s="40" t="n">
        <f aca="false">F12-F13</f>
        <v>-618.568162457596</v>
      </c>
      <c r="G14" s="40" t="n">
        <f aca="false">G12-G13</f>
        <v>-446.679357414443</v>
      </c>
      <c r="H14" s="40" t="n">
        <f aca="false">H12-H13</f>
        <v>-269.510174587504</v>
      </c>
      <c r="I14" s="40" t="n">
        <f aca="false">I12-I13</f>
        <v>-86.9365804042755</v>
      </c>
      <c r="J14" s="40" t="n">
        <f aca="false">J12-J13</f>
        <v>101.168123639371</v>
      </c>
      <c r="K14" s="40" t="n">
        <f aca="false">K12-K13</f>
        <v>294.933356120408</v>
      </c>
      <c r="L14" s="40" t="n">
        <f aca="false">L12-L13</f>
        <v>494.491311951148</v>
      </c>
      <c r="M14" s="40" t="n">
        <f aca="false">M12-M13</f>
        <v>699.977019785583</v>
      </c>
      <c r="N14" s="40" t="n">
        <f aca="false">N12-N13</f>
        <v>911.528400592659</v>
      </c>
      <c r="O14" s="40" t="n">
        <f aca="false">O12-O13</f>
        <v>1129.28632741999</v>
      </c>
      <c r="P14" s="40" t="n">
        <f aca="false">P12-P13</f>
        <v>1353.39468637203</v>
      </c>
      <c r="Q14" s="40" t="n">
        <f aca="false">Q12-Q13</f>
        <v>1584.00043882714</v>
      </c>
      <c r="R14" s="40" t="n">
        <f aca="false">R12-R13</f>
        <v>1821.25368491863</v>
      </c>
      <c r="S14" s="40" t="n">
        <f aca="false">S12-S13</f>
        <v>2065.3077283051</v>
      </c>
      <c r="T14" s="40" t="n">
        <f aca="false">T12-T13</f>
        <v>2316.31914225618</v>
      </c>
      <c r="U14" s="40" t="n">
        <f aca="false">U12-U13</f>
        <v>2574.44783708014</v>
      </c>
      <c r="V14" s="40" t="n">
        <f aca="false">V12-V13</f>
        <v>2839.85712892036</v>
      </c>
      <c r="W14" s="40" t="n">
        <f aca="false">W12-W13</f>
        <v>3112.71380994837</v>
      </c>
      <c r="X14" s="40" t="n">
        <f aca="false">X12-X13</f>
        <v>3393.18821998143</v>
      </c>
      <c r="Y14" s="40" t="n">
        <f aca="false">Y12-Y13</f>
        <v>3681.4543195535</v>
      </c>
      <c r="Z14" s="40" t="n">
        <f aca="false">Z12-Z13</f>
        <v>3977.68976446873</v>
      </c>
      <c r="AA14" s="40" t="n">
        <f aca="false">AA12-AA13</f>
        <v>4282.07598186751</v>
      </c>
      <c r="AB14" s="40" t="n">
        <f aca="false">AB12-AB13</f>
        <v>4594.79824783537</v>
      </c>
      <c r="AC14" s="40" t="n">
        <f aca="false">AC12-AC13</f>
        <v>4916.04576658588</v>
      </c>
      <c r="AD14" s="40" t="n">
        <f aca="false">AD12-AD13</f>
        <v>5246.01175124934</v>
      </c>
      <c r="AE14" s="40" t="n">
        <f aca="false">AE12-AE13</f>
        <v>5584.89350629939</v>
      </c>
      <c r="AF14" s="40" t="n">
        <f aca="false">AF12-AF13</f>
        <v>5932.89251165068</v>
      </c>
      <c r="AG14" s="40" t="n">
        <f aca="false">AG12-AG13</f>
        <v>6290.21450846126</v>
      </c>
      <c r="AH14" s="40" t="n">
        <f aca="false">AH12-AH13</f>
        <v>6657.06958667382</v>
      </c>
      <c r="AI14" s="40" t="n">
        <f aca="false">AI12-AI13</f>
        <v>7033.67227433107</v>
      </c>
      <c r="AJ14" s="40" t="n">
        <f aca="false">AJ12-AJ13</f>
        <v>7420.2416287007</v>
      </c>
      <c r="AK14" s="40" t="n">
        <f aca="false">AK12-AK13</f>
        <v>7817.00132924655</v>
      </c>
    </row>
    <row r="15" customFormat="false" ht="15" hidden="false" customHeight="true" outlineLevel="0" collapsed="false">
      <c r="A15" s="15" t="s">
        <v>326</v>
      </c>
      <c r="B15" s="20" t="n">
        <f aca="false">3571.86+B14</f>
        <v>2316.15</v>
      </c>
      <c r="C15" s="20" t="n">
        <f aca="false">B15+C14</f>
        <v>1212.3962</v>
      </c>
      <c r="D15" s="20" t="n">
        <f aca="false">C15+D14</f>
        <v>265.408428000006</v>
      </c>
      <c r="E15" s="20" t="n">
        <f aca="false">D15+E14</f>
        <v>-519.889584399989</v>
      </c>
      <c r="F15" s="20" t="n">
        <f aca="false">E15+F14</f>
        <v>-1138.45774685758</v>
      </c>
      <c r="G15" s="20" t="n">
        <f aca="false">F15+G14</f>
        <v>-1585.13710427203</v>
      </c>
      <c r="H15" s="20" t="n">
        <f aca="false">G15+H14</f>
        <v>-1854.64727885953</v>
      </c>
      <c r="I15" s="20" t="n">
        <f aca="false">H15+I14</f>
        <v>-1941.58385926381</v>
      </c>
      <c r="J15" s="20" t="n">
        <f aca="false">I15+J14</f>
        <v>-1840.41573562444</v>
      </c>
      <c r="K15" s="20" t="n">
        <f aca="false">J15+K14</f>
        <v>-1545.48237950403</v>
      </c>
      <c r="L15" s="20" t="n">
        <f aca="false">K15+L14</f>
        <v>-1050.99106755288</v>
      </c>
      <c r="M15" s="20" t="n">
        <f aca="false">L15+M14</f>
        <v>-351.014047767298</v>
      </c>
      <c r="N15" s="20" t="n">
        <f aca="false">M15+N14</f>
        <v>560.514352825361</v>
      </c>
      <c r="O15" s="20" t="n">
        <f aca="false">N15+O14</f>
        <v>1689.80068024535</v>
      </c>
      <c r="P15" s="20" t="n">
        <f aca="false">O15+P14</f>
        <v>3043.19536661738</v>
      </c>
      <c r="Q15" s="20" t="n">
        <f aca="false">P15+Q14</f>
        <v>4627.19580544452</v>
      </c>
      <c r="R15" s="20" t="n">
        <f aca="false">Q15+R14</f>
        <v>6448.44949036315</v>
      </c>
      <c r="S15" s="20" t="n">
        <f aca="false">R15+S14</f>
        <v>8513.75721866825</v>
      </c>
      <c r="T15" s="20" t="n">
        <f aca="false">S15+T14</f>
        <v>10830.0763609244</v>
      </c>
      <c r="U15" s="20" t="n">
        <f aca="false">T15+U14</f>
        <v>13404.5241980046</v>
      </c>
      <c r="V15" s="20" t="n">
        <f aca="false">U15+V14</f>
        <v>16244.3813269249</v>
      </c>
      <c r="W15" s="20" t="n">
        <f aca="false">V15+W14</f>
        <v>19357.0951368733</v>
      </c>
      <c r="X15" s="20" t="n">
        <f aca="false">W15+X14</f>
        <v>22750.2833568547</v>
      </c>
      <c r="Y15" s="20" t="n">
        <f aca="false">X15+Y14</f>
        <v>26431.7376764082</v>
      </c>
      <c r="Z15" s="20" t="n">
        <f aca="false">Y15+Z14</f>
        <v>30409.427440877</v>
      </c>
      <c r="AA15" s="20" t="n">
        <f aca="false">Z15+AA14</f>
        <v>34691.5034227445</v>
      </c>
      <c r="AB15" s="20" t="n">
        <f aca="false">AA15+AB14</f>
        <v>39286.3016705798</v>
      </c>
      <c r="AC15" s="20" t="n">
        <f aca="false">AB15+AC14</f>
        <v>44202.3474371657</v>
      </c>
      <c r="AD15" s="20" t="n">
        <f aca="false">AC15+AD14</f>
        <v>49448.3591884151</v>
      </c>
      <c r="AE15" s="20" t="n">
        <f aca="false">AD15+AE14</f>
        <v>55033.2526947144</v>
      </c>
      <c r="AF15" s="20" t="n">
        <f aca="false">AE15+AF14</f>
        <v>60966.1452063651</v>
      </c>
      <c r="AG15" s="20" t="n">
        <f aca="false">AF15+AG14</f>
        <v>67256.3597148264</v>
      </c>
      <c r="AH15" s="20" t="n">
        <f aca="false">AG15+AH14</f>
        <v>73913.4293015002</v>
      </c>
      <c r="AI15" s="20" t="n">
        <f aca="false">AH15+AI14</f>
        <v>80947.1015758313</v>
      </c>
      <c r="AJ15" s="20" t="n">
        <f aca="false">AI15+AJ14</f>
        <v>88367.343204532</v>
      </c>
      <c r="AK15" s="20" t="n">
        <f aca="false">AJ15+AK14</f>
        <v>96184.3445337785</v>
      </c>
    </row>
    <row r="17" customFormat="false" ht="15" hidden="false" customHeight="true" outlineLevel="0" collapsed="false">
      <c r="A17" s="1" t="s">
        <v>327</v>
      </c>
      <c r="B17" s="1" t="n">
        <f aca="false">IF(B15&lt;0,1,0)</f>
        <v>0</v>
      </c>
      <c r="C17" s="1" t="n">
        <f aca="false">IF(C15&lt;0,1,0)</f>
        <v>0</v>
      </c>
      <c r="D17" s="1" t="n">
        <f aca="false">IF(D15&lt;0,1,0)</f>
        <v>0</v>
      </c>
      <c r="E17" s="1" t="n">
        <f aca="false">IF(E15&lt;0,1,0)</f>
        <v>1</v>
      </c>
      <c r="F17" s="1" t="n">
        <f aca="false">IF(F15&lt;0,1,0)</f>
        <v>1</v>
      </c>
      <c r="G17" s="1" t="n">
        <f aca="false">IF(G15&lt;0,1,0)</f>
        <v>1</v>
      </c>
      <c r="H17" s="1" t="n">
        <f aca="false">IF(H15&lt;0,1,0)</f>
        <v>1</v>
      </c>
      <c r="I17" s="1" t="n">
        <f aca="false">IF(I15&lt;0,1,0)</f>
        <v>1</v>
      </c>
      <c r="J17" s="1" t="n">
        <f aca="false">IF(J15&lt;0,1,0)</f>
        <v>1</v>
      </c>
      <c r="K17" s="1" t="n">
        <f aca="false">IF(K15&lt;0,1,0)</f>
        <v>1</v>
      </c>
      <c r="L17" s="1" t="n">
        <f aca="false">IF(L15&lt;0,1,0)</f>
        <v>1</v>
      </c>
      <c r="M17" s="1" t="n">
        <f aca="false">IF(M15&lt;0,1,0)</f>
        <v>1</v>
      </c>
      <c r="N17" s="1" t="n">
        <f aca="false">IF(N15&lt;0,1,0)</f>
        <v>0</v>
      </c>
      <c r="O17" s="1" t="n">
        <f aca="false">IF(O15&lt;0,1,0)</f>
        <v>0</v>
      </c>
      <c r="P17" s="1" t="n">
        <f aca="false">IF(P15&lt;0,1,0)</f>
        <v>0</v>
      </c>
      <c r="Q17" s="1" t="n">
        <f aca="false">IF(Q15&lt;0,1,0)</f>
        <v>0</v>
      </c>
      <c r="R17" s="1" t="n">
        <f aca="false">IF(R15&lt;0,1,0)</f>
        <v>0</v>
      </c>
      <c r="S17" s="1" t="n">
        <f aca="false">IF(S15&lt;0,1,0)</f>
        <v>0</v>
      </c>
      <c r="T17" s="1" t="n">
        <f aca="false">IF(T15&lt;0,1,0)</f>
        <v>0</v>
      </c>
      <c r="U17" s="1" t="n">
        <f aca="false">IF(U15&lt;0,1,0)</f>
        <v>0</v>
      </c>
      <c r="V17" s="1" t="n">
        <f aca="false">IF(V15&lt;0,1,0)</f>
        <v>0</v>
      </c>
      <c r="W17" s="1" t="n">
        <f aca="false">IF(W15&lt;0,1,0)</f>
        <v>0</v>
      </c>
      <c r="X17" s="1" t="n">
        <f aca="false">IF(X15&lt;0,1,0)</f>
        <v>0</v>
      </c>
      <c r="Y17" s="1" t="n">
        <f aca="false">IF(Y15&lt;0,1,0)</f>
        <v>0</v>
      </c>
      <c r="Z17" s="1" t="n">
        <f aca="false">IF(Z15&lt;0,1,0)</f>
        <v>0</v>
      </c>
      <c r="AA17" s="1" t="n">
        <f aca="false">IF(AA15&lt;0,1,0)</f>
        <v>0</v>
      </c>
      <c r="AB17" s="1" t="n">
        <f aca="false">IF(AB15&lt;0,1,0)</f>
        <v>0</v>
      </c>
      <c r="AC17" s="1" t="n">
        <f aca="false">IF(AC15&lt;0,1,0)</f>
        <v>0</v>
      </c>
      <c r="AD17" s="1" t="n">
        <f aca="false">IF(AD15&lt;0,1,0)</f>
        <v>0</v>
      </c>
      <c r="AE17" s="1" t="n">
        <f aca="false">IF(AE15&lt;0,1,0)</f>
        <v>0</v>
      </c>
      <c r="AF17" s="1" t="n">
        <f aca="false">IF(AF15&lt;0,1,0)</f>
        <v>0</v>
      </c>
      <c r="AG17" s="1" t="n">
        <f aca="false">IF(AG15&lt;0,1,0)</f>
        <v>0</v>
      </c>
      <c r="AH17" s="1" t="n">
        <f aca="false">IF(AH15&lt;0,1,0)</f>
        <v>0</v>
      </c>
      <c r="AI17" s="1" t="n">
        <f aca="false">IF(AI15&lt;0,1,0)</f>
        <v>0</v>
      </c>
      <c r="AJ17" s="1" t="n">
        <f aca="false">IF(AJ15&lt;0,1,0)</f>
        <v>0</v>
      </c>
      <c r="AK17" s="1" t="n">
        <f aca="false">IF(AK15&lt;0,1,0)</f>
        <v>0</v>
      </c>
    </row>
    <row r="19" customFormat="false" ht="15" hidden="false" customHeight="true" outlineLevel="0" collapsed="false">
      <c r="A19" s="11" t="s">
        <v>328</v>
      </c>
    </row>
    <row r="20" customFormat="false" ht="15" hidden="false" customHeight="true" outlineLevel="0" collapsed="false">
      <c r="A20" s="1" t="s">
        <v>329</v>
      </c>
      <c r="B20" s="7" t="n">
        <f aca="false">B6-B5</f>
        <v>1255.71</v>
      </c>
    </row>
    <row r="21" customFormat="false" ht="15" hidden="false" customHeight="true" outlineLevel="0" collapsed="false">
      <c r="A21" s="1" t="s">
        <v>330</v>
      </c>
      <c r="B21" s="1" t="n">
        <v>3571.86</v>
      </c>
    </row>
    <row r="22" customFormat="false" ht="15" hidden="false" customHeight="true" outlineLevel="0" collapsed="false">
      <c r="A22" s="1" t="s">
        <v>331</v>
      </c>
      <c r="B22" s="7" t="n">
        <f aca="false">B21/B20</f>
        <v>2.84449434981007</v>
      </c>
    </row>
    <row r="23" customFormat="false" ht="15" hidden="false" customHeight="true" outlineLevel="0" collapsed="false">
      <c r="A23" s="1" t="s">
        <v>332</v>
      </c>
      <c r="B23" s="7" t="n">
        <f aca="false">IF(SUM(B17:AK17)=0,"&gt;36",MATCH(1,B17:AK17,0))</f>
        <v>4</v>
      </c>
    </row>
    <row r="24" customFormat="false" ht="78" hidden="false" customHeight="true" outlineLevel="0" collapsed="false">
      <c r="A24" s="8" t="s">
        <v>333</v>
      </c>
    </row>
    <row r="26" customFormat="false" ht="15" hidden="false" customHeight="true" outlineLevel="0" collapsed="false">
      <c r="A26" s="11" t="s">
        <v>334</v>
      </c>
    </row>
    <row r="27" customFormat="false" ht="54.75" hidden="false" customHeight="true" outlineLevel="0" collapsed="false">
      <c r="A27" s="1" t="s">
        <v>335</v>
      </c>
      <c r="B27" s="1" t="n">
        <v>2500</v>
      </c>
      <c r="C27" s="8" t="s">
        <v>336</v>
      </c>
    </row>
    <row r="28" customFormat="false" ht="54.75" hidden="false" customHeight="true" outlineLevel="0" collapsed="false">
      <c r="A28" s="1" t="s">
        <v>337</v>
      </c>
      <c r="B28" s="1" t="n">
        <v>1500</v>
      </c>
      <c r="C28" s="8" t="s">
        <v>338</v>
      </c>
    </row>
    <row r="29" customFormat="false" ht="68.25" hidden="false" customHeight="true" outlineLevel="0" collapsed="false">
      <c r="A29" s="1" t="s">
        <v>339</v>
      </c>
      <c r="B29" s="41" t="n">
        <v>0</v>
      </c>
      <c r="C29" s="8" t="s">
        <v>340</v>
      </c>
    </row>
    <row r="30" customFormat="false" ht="162" hidden="false" customHeight="true" outlineLevel="0" collapsed="false">
      <c r="A30" s="1" t="s">
        <v>341</v>
      </c>
      <c r="B30" s="41" t="n">
        <v>692</v>
      </c>
      <c r="C30" s="8" t="s">
        <v>342</v>
      </c>
    </row>
    <row r="31" customFormat="false" ht="15" hidden="false" customHeight="true" outlineLevel="0" collapsed="false">
      <c r="A31" s="7" t="s">
        <v>343</v>
      </c>
      <c r="B31" s="7" t="n">
        <f aca="false">SUM(B27:B30)</f>
        <v>4692</v>
      </c>
    </row>
    <row r="32" customFormat="false" ht="15" hidden="false" customHeight="true" outlineLevel="0" collapsed="false">
      <c r="A32" s="7" t="s">
        <v>344</v>
      </c>
      <c r="B32" s="7" t="n">
        <f aca="false">B31/B5</f>
        <v>0.285204904405905</v>
      </c>
    </row>
    <row r="33" customFormat="false" ht="15.75" hidden="false" customHeight="true" outlineLevel="0" collapsed="false">
      <c r="A33" s="42" t="s">
        <v>345</v>
      </c>
    </row>
    <row r="34" customFormat="false" ht="109.5" hidden="false" customHeight="true" outlineLevel="0" collapsed="false">
      <c r="A34" s="8" t="s">
        <v>346</v>
      </c>
    </row>
    <row r="36" customFormat="false" ht="15" hidden="false" customHeight="true" outlineLevel="0" collapsed="false">
      <c r="A36" s="43" t="s">
        <v>347</v>
      </c>
    </row>
    <row r="37" customFormat="false" ht="91.5" hidden="false" customHeight="true" outlineLevel="0" collapsed="false">
      <c r="A37" s="8" t="s">
        <v>348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38"/>
    <col collapsed="false" customWidth="true" hidden="false" outlineLevel="0" max="3" min="3" style="1" width="22"/>
    <col collapsed="false" customWidth="true" hidden="false" outlineLevel="0" max="5" min="4" style="1" width="14"/>
    <col collapsed="false" customWidth="true" hidden="false" outlineLevel="0" max="6" min="6" style="1" width="18"/>
    <col collapsed="false" customWidth="true" hidden="false" outlineLevel="0" max="7" min="7" style="1" width="26"/>
    <col collapsed="false" customWidth="true" hidden="false" outlineLevel="0" max="8" min="8" style="1" width="44"/>
  </cols>
  <sheetData>
    <row r="1" customFormat="false" ht="17.25" hidden="false" customHeight="true" outlineLevel="0" collapsed="false">
      <c r="A1" s="10" t="s">
        <v>349</v>
      </c>
    </row>
    <row r="3" customFormat="false" ht="15" hidden="false" customHeight="true" outlineLevel="0" collapsed="false">
      <c r="A3" s="11" t="s">
        <v>350</v>
      </c>
      <c r="B3" s="11" t="s">
        <v>351</v>
      </c>
      <c r="C3" s="11" t="s">
        <v>249</v>
      </c>
      <c r="D3" s="11" t="s">
        <v>352</v>
      </c>
      <c r="E3" s="11" t="s">
        <v>353</v>
      </c>
      <c r="F3" s="11" t="s">
        <v>354</v>
      </c>
      <c r="G3" s="11" t="s">
        <v>355</v>
      </c>
      <c r="H3" s="11" t="s">
        <v>356</v>
      </c>
    </row>
    <row r="4" customFormat="false" ht="57.75" hidden="false" customHeight="true" outlineLevel="0" collapsed="false">
      <c r="A4" s="8" t="s">
        <v>357</v>
      </c>
      <c r="B4" s="8" t="s">
        <v>358</v>
      </c>
      <c r="C4" s="8" t="s">
        <v>262</v>
      </c>
      <c r="D4" s="8" t="n">
        <v>66587</v>
      </c>
      <c r="E4" s="8" t="n">
        <v>13879</v>
      </c>
      <c r="F4" s="8" t="s">
        <v>359</v>
      </c>
      <c r="G4" s="8" t="s">
        <v>360</v>
      </c>
      <c r="H4" s="8" t="s">
        <v>361</v>
      </c>
    </row>
    <row r="5" customFormat="false" ht="57.75" hidden="false" customHeight="true" outlineLevel="0" collapsed="false">
      <c r="A5" s="8" t="s">
        <v>362</v>
      </c>
      <c r="B5" s="8" t="s">
        <v>363</v>
      </c>
      <c r="C5" s="8" t="s">
        <v>364</v>
      </c>
      <c r="D5" s="8" t="s">
        <v>191</v>
      </c>
      <c r="E5" s="8" t="n">
        <f aca="false">Credit_Cards!B12</f>
        <v>22055.63</v>
      </c>
      <c r="F5" s="8" t="s">
        <v>365</v>
      </c>
      <c r="G5" s="8" t="s">
        <v>366</v>
      </c>
      <c r="H5" s="8" t="s">
        <v>367</v>
      </c>
    </row>
    <row r="6" customFormat="false" ht="57.75" hidden="false" customHeight="true" outlineLevel="0" collapsed="false">
      <c r="A6" s="8" t="s">
        <v>368</v>
      </c>
      <c r="B6" s="8" t="s">
        <v>369</v>
      </c>
      <c r="C6" s="8" t="s">
        <v>370</v>
      </c>
      <c r="D6" s="8" t="s">
        <v>263</v>
      </c>
      <c r="E6" s="8" t="s">
        <v>371</v>
      </c>
      <c r="F6" s="8" t="s">
        <v>372</v>
      </c>
      <c r="G6" s="8" t="s">
        <v>373</v>
      </c>
      <c r="H6" s="8" t="s">
        <v>374</v>
      </c>
    </row>
    <row r="7" customFormat="false" ht="57.75" hidden="false" customHeight="true" outlineLevel="0" collapsed="false">
      <c r="A7" s="8" t="s">
        <v>375</v>
      </c>
      <c r="B7" s="8" t="s">
        <v>376</v>
      </c>
      <c r="C7" s="8" t="s">
        <v>377</v>
      </c>
      <c r="D7" s="8" t="n">
        <v>29000</v>
      </c>
      <c r="E7" s="8" t="n">
        <v>4000</v>
      </c>
      <c r="F7" s="8" t="s">
        <v>378</v>
      </c>
      <c r="G7" s="8" t="s">
        <v>379</v>
      </c>
      <c r="H7" s="8" t="s">
        <v>380</v>
      </c>
    </row>
    <row r="8" customFormat="false" ht="15" hidden="false" customHeight="true" outlineLevel="0" collapsed="false">
      <c r="A8" s="7" t="s">
        <v>381</v>
      </c>
      <c r="E8" s="7" t="n">
        <f aca="false">E4+E5</f>
        <v>35934.63</v>
      </c>
    </row>
    <row r="10" customFormat="false" ht="60" hidden="false" customHeight="true" outlineLevel="0" collapsed="false">
      <c r="A10" s="8" t="s">
        <v>382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3"/>
    <col collapsed="false" customWidth="true" hidden="false" outlineLevel="0" max="3" min="3" style="1" width="18"/>
    <col collapsed="false" customWidth="true" hidden="false" outlineLevel="0" max="5" min="4" style="1" width="22"/>
    <col collapsed="false" customWidth="true" hidden="false" outlineLevel="0" max="6" min="6" style="1" width="18"/>
    <col collapsed="false" customWidth="true" hidden="false" outlineLevel="0" max="7" min="7" style="1" width="52"/>
  </cols>
  <sheetData>
    <row r="1" customFormat="false" ht="17.25" hidden="false" customHeight="true" outlineLevel="0" collapsed="false">
      <c r="A1" s="10" t="s">
        <v>383</v>
      </c>
    </row>
    <row r="2" customFormat="false" ht="90" hidden="false" customHeight="true" outlineLevel="0" collapsed="false">
      <c r="A2" s="8" t="s">
        <v>384</v>
      </c>
    </row>
    <row r="4" customFormat="false" ht="15" hidden="false" customHeight="true" outlineLevel="0" collapsed="false">
      <c r="A4" s="11" t="s">
        <v>385</v>
      </c>
      <c r="B4" s="11" t="s">
        <v>386</v>
      </c>
      <c r="C4" s="11" t="s">
        <v>387</v>
      </c>
      <c r="D4" s="11" t="s">
        <v>388</v>
      </c>
      <c r="E4" s="11" t="s">
        <v>389</v>
      </c>
      <c r="F4" s="11" t="s">
        <v>390</v>
      </c>
      <c r="G4" s="11" t="s">
        <v>391</v>
      </c>
    </row>
    <row r="5" customFormat="false" ht="72" hidden="false" customHeight="true" outlineLevel="0" collapsed="false">
      <c r="A5" s="1" t="s">
        <v>392</v>
      </c>
      <c r="B5" s="44" t="n">
        <v>22055.63</v>
      </c>
      <c r="C5" s="44" t="n">
        <v>0.2774</v>
      </c>
      <c r="D5" s="44" t="n">
        <v>1500</v>
      </c>
      <c r="E5" s="1" t="n">
        <f aca="false">IF(OR(B5=0,D5=0),"n/a",IF(D5&lt;=B5*C5/12,"payment &lt; interest — never pays off",NPER(C5/12,-D5,B5)))</f>
        <v>18.1751668190193</v>
      </c>
      <c r="F5" s="1" t="n">
        <f aca="false">IF(OR(B5=0,D5=0),"n/a",IF(D5&lt;=B5*C5/12,"n/a",E5*D5-B5))</f>
        <v>5207.12022852893</v>
      </c>
      <c r="G5" s="8" t="s">
        <v>393</v>
      </c>
    </row>
    <row r="6" customFormat="false" ht="87.75" hidden="false" customHeight="true" outlineLevel="0" collapsed="false">
      <c r="A6" s="1" t="s">
        <v>394</v>
      </c>
      <c r="B6" s="44" t="n">
        <v>25327.77</v>
      </c>
      <c r="C6" s="44" t="n">
        <v>0.0999</v>
      </c>
      <c r="D6" s="44" t="n">
        <v>1235</v>
      </c>
      <c r="E6" s="1" t="n">
        <f aca="false">IF(OR(B6=0,D6=0),"n/a",IF(D6&lt;=B6*C6/12,"payment &lt; interest — never pays off",NPER(C6/12,-D6,B6)))</f>
        <v>22.5813525005093</v>
      </c>
      <c r="F6" s="1" t="n">
        <f aca="false">IF(OR(B6=0,D6=0),"n/a",IF(D6&lt;=B6*C6/12,"n/a",E6*D6-B6))</f>
        <v>2560.20033812903</v>
      </c>
      <c r="G6" s="8" t="s">
        <v>395</v>
      </c>
    </row>
    <row r="7" customFormat="false" ht="15" hidden="false" customHeight="true" outlineLevel="0" collapsed="false">
      <c r="A7" s="1" t="s">
        <v>396</v>
      </c>
      <c r="B7" s="41" t="n">
        <v>0</v>
      </c>
      <c r="C7" s="41" t="n">
        <v>0</v>
      </c>
      <c r="D7" s="41" t="n">
        <v>0</v>
      </c>
      <c r="E7" s="1" t="str">
        <f aca="false">IF(OR(B7=0,D7=0),"n/a",IF(D7&lt;=B7*C7/12,"payment &lt; interest — never pays off",NPER(C7/12,-D7,B7)))</f>
        <v>n/a</v>
      </c>
      <c r="F7" s="1" t="str">
        <f aca="false">IF(OR(B7=0,D7=0),"n/a",IF(D7&lt;=B7*C7/12,"n/a",E7*D7-B7))</f>
        <v>n/a</v>
      </c>
      <c r="G7" s="8"/>
    </row>
    <row r="12" customFormat="false" ht="15" hidden="false" customHeight="true" outlineLevel="0" collapsed="false">
      <c r="A12" s="7" t="s">
        <v>397</v>
      </c>
      <c r="B12" s="7" t="n">
        <f aca="false">B5+B7</f>
        <v>22055.63</v>
      </c>
    </row>
    <row r="13" customFormat="false" ht="15" hidden="false" customHeight="true" outlineLevel="0" collapsed="false">
      <c r="A13" s="1" t="s">
        <v>398</v>
      </c>
      <c r="B13" s="1" t="n">
        <f aca="false">B12-22055.63</f>
        <v>0</v>
      </c>
    </row>
    <row r="15" customFormat="false" ht="79.5" hidden="false" customHeight="true" outlineLevel="0" collapsed="false">
      <c r="A15" s="8" t="s">
        <v>399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14"/>
    <col collapsed="false" customWidth="true" hidden="false" outlineLevel="0" max="3" min="3" style="1" width="52"/>
    <col collapsed="false" customWidth="true" hidden="false" outlineLevel="0" max="4" min="4" style="1" width="50"/>
  </cols>
  <sheetData>
    <row r="1" customFormat="false" ht="17.25" hidden="false" customHeight="true" outlineLevel="0" collapsed="false">
      <c r="A1" s="10" t="s">
        <v>400</v>
      </c>
    </row>
    <row r="3" customFormat="false" ht="15" hidden="false" customHeight="true" outlineLevel="0" collapsed="false">
      <c r="A3" s="11" t="s">
        <v>249</v>
      </c>
      <c r="B3" s="11" t="s">
        <v>234</v>
      </c>
      <c r="C3" s="11" t="s">
        <v>401</v>
      </c>
      <c r="D3" s="11" t="s">
        <v>402</v>
      </c>
    </row>
    <row r="4" customFormat="false" ht="15" hidden="false" customHeight="true" outlineLevel="0" collapsed="false">
      <c r="A4" s="8" t="s">
        <v>268</v>
      </c>
      <c r="B4" s="8" t="s">
        <v>403</v>
      </c>
      <c r="C4" s="8" t="s">
        <v>404</v>
      </c>
      <c r="D4" s="8" t="s">
        <v>405</v>
      </c>
    </row>
    <row r="5" customFormat="false" ht="15" hidden="false" customHeight="true" outlineLevel="0" collapsed="false">
      <c r="A5" s="8" t="s">
        <v>268</v>
      </c>
      <c r="B5" s="8" t="s">
        <v>403</v>
      </c>
      <c r="C5" s="8" t="s">
        <v>406</v>
      </c>
      <c r="D5" s="8" t="s">
        <v>405</v>
      </c>
    </row>
    <row r="6" customFormat="false" ht="15" hidden="false" customHeight="true" outlineLevel="0" collapsed="false">
      <c r="A6" s="8" t="s">
        <v>268</v>
      </c>
      <c r="B6" s="8" t="s">
        <v>403</v>
      </c>
      <c r="C6" s="8" t="s">
        <v>407</v>
      </c>
      <c r="D6" s="8" t="s">
        <v>408</v>
      </c>
    </row>
    <row r="7" customFormat="false" ht="27.75" hidden="false" customHeight="true" outlineLevel="0" collapsed="false">
      <c r="A7" s="8" t="s">
        <v>262</v>
      </c>
      <c r="B7" s="8" t="s">
        <v>409</v>
      </c>
      <c r="C7" s="8" t="s">
        <v>410</v>
      </c>
      <c r="D7" s="8" t="s">
        <v>411</v>
      </c>
    </row>
    <row r="8" customFormat="false" ht="15" hidden="false" customHeight="true" outlineLevel="0" collapsed="false">
      <c r="A8" s="8" t="s">
        <v>262</v>
      </c>
      <c r="B8" s="8" t="s">
        <v>409</v>
      </c>
      <c r="C8" s="8" t="s">
        <v>412</v>
      </c>
      <c r="D8" s="8" t="s">
        <v>405</v>
      </c>
    </row>
    <row r="9" customFormat="false" ht="15" hidden="false" customHeight="true" outlineLevel="0" collapsed="false">
      <c r="A9" s="8" t="s">
        <v>262</v>
      </c>
      <c r="B9" s="8" t="s">
        <v>409</v>
      </c>
      <c r="C9" s="8" t="s">
        <v>413</v>
      </c>
      <c r="D9" s="8" t="s">
        <v>414</v>
      </c>
    </row>
    <row r="11" customFormat="false" ht="39.75" hidden="false" customHeight="true" outlineLevel="0" collapsed="false">
      <c r="A11" s="8" t="s">
        <v>415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2" min="2" style="1" width="14"/>
    <col collapsed="false" customWidth="true" hidden="false" outlineLevel="0" max="5" min="3" style="1" width="16"/>
    <col collapsed="false" customWidth="true" hidden="false" outlineLevel="0" max="6" min="6" style="1" width="14"/>
    <col collapsed="false" customWidth="true" hidden="false" outlineLevel="0" max="7" min="7" style="1" width="52"/>
  </cols>
  <sheetData>
    <row r="1" customFormat="false" ht="17.25" hidden="false" customHeight="true" outlineLevel="0" collapsed="false">
      <c r="A1" s="2" t="s">
        <v>416</v>
      </c>
    </row>
    <row r="2" customFormat="false" ht="34.5" hidden="false" customHeight="true" outlineLevel="0" collapsed="false">
      <c r="A2" s="22" t="s">
        <v>417</v>
      </c>
    </row>
    <row r="4" customFormat="false" ht="30" hidden="false" customHeight="true" outlineLevel="0" collapsed="false">
      <c r="A4" s="23" t="s">
        <v>418</v>
      </c>
      <c r="B4" s="23" t="s">
        <v>249</v>
      </c>
      <c r="C4" s="23" t="s">
        <v>419</v>
      </c>
      <c r="D4" s="23" t="s">
        <v>420</v>
      </c>
      <c r="E4" s="23" t="s">
        <v>421</v>
      </c>
      <c r="F4" s="23" t="s">
        <v>422</v>
      </c>
      <c r="G4" s="23" t="s">
        <v>391</v>
      </c>
    </row>
    <row r="5" customFormat="false" ht="27.75" hidden="false" customHeight="true" outlineLevel="0" collapsed="false">
      <c r="A5" s="30" t="s">
        <v>423</v>
      </c>
      <c r="B5" s="25" t="s">
        <v>262</v>
      </c>
      <c r="C5" s="18" t="n">
        <v>305065.9</v>
      </c>
      <c r="D5" s="18" t="n">
        <v>238467.8</v>
      </c>
      <c r="E5" s="25" t="s">
        <v>265</v>
      </c>
      <c r="F5" s="18" t="n">
        <v>49015.48</v>
      </c>
      <c r="G5" s="22" t="s">
        <v>424</v>
      </c>
    </row>
    <row r="6" customFormat="false" ht="27.75" hidden="false" customHeight="true" outlineLevel="0" collapsed="false">
      <c r="A6" s="30" t="s">
        <v>425</v>
      </c>
      <c r="B6" s="25" t="s">
        <v>262</v>
      </c>
      <c r="C6" s="18" t="n">
        <v>113924.1</v>
      </c>
      <c r="D6" s="18" t="n">
        <v>131513.07</v>
      </c>
      <c r="E6" s="25" t="s">
        <v>265</v>
      </c>
      <c r="F6" s="18" t="n">
        <v>35305.16</v>
      </c>
      <c r="G6" s="22" t="s">
        <v>426</v>
      </c>
    </row>
    <row r="7" customFormat="false" ht="27.75" hidden="false" customHeight="true" outlineLevel="0" collapsed="false">
      <c r="A7" s="30" t="s">
        <v>427</v>
      </c>
      <c r="B7" s="25" t="s">
        <v>428</v>
      </c>
      <c r="C7" s="18" t="n">
        <v>7200</v>
      </c>
      <c r="D7" s="25" t="s">
        <v>265</v>
      </c>
      <c r="E7" s="25" t="s">
        <v>265</v>
      </c>
      <c r="F7" s="25" t="s">
        <v>265</v>
      </c>
      <c r="G7" s="22" t="s">
        <v>429</v>
      </c>
    </row>
    <row r="8" customFormat="false" ht="27.75" hidden="false" customHeight="true" outlineLevel="0" collapsed="false">
      <c r="A8" s="30" t="s">
        <v>430</v>
      </c>
      <c r="B8" s="25" t="s">
        <v>262</v>
      </c>
      <c r="C8" s="25" t="s">
        <v>265</v>
      </c>
      <c r="D8" s="18" t="n">
        <v>549.89</v>
      </c>
      <c r="E8" s="25" t="s">
        <v>265</v>
      </c>
      <c r="F8" s="18" t="n">
        <v>249.95</v>
      </c>
      <c r="G8" s="22" t="s">
        <v>431</v>
      </c>
    </row>
    <row r="9" customFormat="false" ht="27.75" hidden="false" customHeight="true" outlineLevel="0" collapsed="false">
      <c r="A9" s="30" t="s">
        <v>432</v>
      </c>
      <c r="B9" s="25" t="s">
        <v>262</v>
      </c>
      <c r="C9" s="25" t="s">
        <v>265</v>
      </c>
      <c r="D9" s="18" t="n">
        <v>561.22</v>
      </c>
      <c r="E9" s="25" t="s">
        <v>265</v>
      </c>
      <c r="F9" s="18" t="n">
        <v>408.16</v>
      </c>
      <c r="G9" s="22" t="s">
        <v>433</v>
      </c>
    </row>
    <row r="10" customFormat="false" ht="27.75" hidden="false" customHeight="true" outlineLevel="0" collapsed="false">
      <c r="A10" s="30" t="s">
        <v>434</v>
      </c>
      <c r="B10" s="25" t="s">
        <v>262</v>
      </c>
      <c r="C10" s="25" t="s">
        <v>265</v>
      </c>
      <c r="D10" s="25" t="s">
        <v>265</v>
      </c>
      <c r="E10" s="25" t="s">
        <v>265</v>
      </c>
      <c r="F10" s="25" t="s">
        <v>265</v>
      </c>
      <c r="G10" s="22" t="s">
        <v>435</v>
      </c>
    </row>
    <row r="11" customFormat="false" ht="27.75" hidden="false" customHeight="true" outlineLevel="0" collapsed="false">
      <c r="A11" s="30" t="s">
        <v>436</v>
      </c>
      <c r="B11" s="25" t="s">
        <v>262</v>
      </c>
      <c r="C11" s="25" t="s">
        <v>265</v>
      </c>
      <c r="D11" s="18" t="n">
        <v>1410.21</v>
      </c>
      <c r="E11" s="25" t="s">
        <v>265</v>
      </c>
      <c r="F11" s="25" t="s">
        <v>265</v>
      </c>
      <c r="G11" s="22" t="s">
        <v>437</v>
      </c>
    </row>
    <row r="12" customFormat="false" ht="27.75" hidden="false" customHeight="true" outlineLevel="0" collapsed="false">
      <c r="A12" s="30" t="s">
        <v>438</v>
      </c>
      <c r="B12" s="25" t="s">
        <v>262</v>
      </c>
      <c r="C12" s="25" t="s">
        <v>265</v>
      </c>
      <c r="D12" s="18" t="n">
        <v>855.13</v>
      </c>
      <c r="E12" s="25" t="s">
        <v>265</v>
      </c>
      <c r="F12" s="18" t="n">
        <v>329.16</v>
      </c>
      <c r="G12" s="22" t="s">
        <v>439</v>
      </c>
    </row>
    <row r="13" customFormat="false" ht="27.75" hidden="false" customHeight="true" outlineLevel="0" collapsed="false">
      <c r="A13" s="30" t="s">
        <v>440</v>
      </c>
      <c r="B13" s="25" t="s">
        <v>262</v>
      </c>
      <c r="C13" s="25" t="s">
        <v>265</v>
      </c>
      <c r="D13" s="18" t="n">
        <v>1528.34</v>
      </c>
      <c r="E13" s="25" t="s">
        <v>265</v>
      </c>
      <c r="F13" s="18" t="n">
        <v>610.02</v>
      </c>
      <c r="G13" s="22" t="s">
        <v>441</v>
      </c>
    </row>
    <row r="14" customFormat="false" ht="27.75" hidden="false" customHeight="true" outlineLevel="0" collapsed="false">
      <c r="A14" s="30" t="s">
        <v>442</v>
      </c>
      <c r="B14" s="25" t="s">
        <v>428</v>
      </c>
      <c r="C14" s="25" t="s">
        <v>265</v>
      </c>
      <c r="D14" s="25" t="s">
        <v>265</v>
      </c>
      <c r="E14" s="18" t="n">
        <v>130976.23</v>
      </c>
      <c r="F14" s="25" t="s">
        <v>265</v>
      </c>
      <c r="G14" s="22" t="s">
        <v>443</v>
      </c>
    </row>
    <row r="16" customFormat="false" ht="39.75" hidden="false" customHeight="true" outlineLevel="0" collapsed="false">
      <c r="A16" s="19" t="s">
        <v>444</v>
      </c>
      <c r="C16" s="16" t="n">
        <v>305065.9</v>
      </c>
      <c r="D16" s="16" t="n">
        <v>374885.66</v>
      </c>
      <c r="E16" s="25" t="s">
        <v>265</v>
      </c>
      <c r="F16" s="16" t="n">
        <v>85917.93</v>
      </c>
      <c r="G16" s="45" t="s">
        <v>445</v>
      </c>
    </row>
    <row r="18" customFormat="false" ht="15" hidden="false" customHeight="true" outlineLevel="0" collapsed="false">
      <c r="A18" s="46" t="s">
        <v>446</v>
      </c>
      <c r="B18" s="46"/>
      <c r="C18" s="46"/>
      <c r="D18" s="46"/>
      <c r="E18" s="46"/>
      <c r="F18" s="46"/>
      <c r="G18" s="46"/>
    </row>
    <row r="19" customFormat="false" ht="15" hidden="false" customHeight="true" outlineLevel="0" collapsed="false">
      <c r="A19" s="47" t="s">
        <v>447</v>
      </c>
      <c r="B19" s="47"/>
      <c r="C19" s="47"/>
      <c r="D19" s="47"/>
      <c r="E19" s="47"/>
      <c r="F19" s="47"/>
      <c r="G19" s="47"/>
    </row>
    <row r="20" customFormat="false" ht="15" hidden="false" customHeight="true" outlineLevel="0" collapsed="false">
      <c r="A20" s="47" t="s">
        <v>448</v>
      </c>
      <c r="B20" s="47"/>
      <c r="C20" s="47"/>
      <c r="D20" s="47"/>
      <c r="E20" s="47"/>
      <c r="F20" s="47"/>
      <c r="G20" s="47"/>
    </row>
    <row r="21" customFormat="false" ht="15" hidden="false" customHeight="true" outlineLevel="0" collapsed="false">
      <c r="A21" s="47" t="s">
        <v>449</v>
      </c>
      <c r="B21" s="47"/>
      <c r="C21" s="47"/>
      <c r="D21" s="47"/>
      <c r="E21" s="47"/>
      <c r="F21" s="47"/>
      <c r="G21" s="47"/>
    </row>
    <row r="22" customFormat="false" ht="15" hidden="false" customHeight="true" outlineLevel="0" collapsed="false">
      <c r="A22" s="47" t="s">
        <v>450</v>
      </c>
      <c r="B22" s="47"/>
      <c r="C22" s="47"/>
      <c r="D22" s="47"/>
      <c r="E22" s="47"/>
      <c r="F22" s="47"/>
      <c r="G22" s="47"/>
    </row>
    <row r="23" customFormat="false" ht="15" hidden="false" customHeight="true" outlineLevel="0" collapsed="false">
      <c r="A23" s="47" t="s">
        <v>451</v>
      </c>
      <c r="B23" s="47"/>
      <c r="C23" s="47"/>
      <c r="D23" s="47"/>
      <c r="E23" s="47"/>
      <c r="F23" s="47"/>
      <c r="G23" s="47"/>
    </row>
    <row r="24" customFormat="false" ht="15" hidden="false" customHeight="true" outlineLevel="0" collapsed="false">
      <c r="A24" s="47" t="s">
        <v>452</v>
      </c>
      <c r="B24" s="47"/>
      <c r="C24" s="47"/>
      <c r="D24" s="47"/>
      <c r="E24" s="47"/>
      <c r="F24" s="47"/>
      <c r="G24" s="47"/>
    </row>
    <row r="25" customFormat="false" ht="15" hidden="false" customHeight="true" outlineLevel="0" collapsed="false">
      <c r="A25" s="47" t="s">
        <v>453</v>
      </c>
      <c r="B25" s="47"/>
      <c r="C25" s="47"/>
      <c r="D25" s="47"/>
      <c r="E25" s="47"/>
      <c r="F25" s="47"/>
      <c r="G25" s="47"/>
    </row>
    <row r="27" customFormat="false" ht="15" hidden="false" customHeight="true" outlineLevel="0" collapsed="false">
      <c r="A27" s="7" t="s">
        <v>454</v>
      </c>
    </row>
    <row r="28" customFormat="false" ht="15" hidden="false" customHeight="true" outlineLevel="0" collapsed="false">
      <c r="A28" s="11" t="s">
        <v>455</v>
      </c>
      <c r="B28" s="11" t="s">
        <v>456</v>
      </c>
      <c r="C28" s="11" t="s">
        <v>34</v>
      </c>
      <c r="D28" s="11" t="s">
        <v>457</v>
      </c>
      <c r="E28" s="11"/>
      <c r="F28" s="11"/>
      <c r="G28" s="11"/>
    </row>
    <row r="29" customFormat="false" ht="54.75" hidden="false" customHeight="true" outlineLevel="0" collapsed="false">
      <c r="A29" s="8" t="s">
        <v>427</v>
      </c>
      <c r="B29" s="8" t="s">
        <v>458</v>
      </c>
      <c r="C29" s="8" t="n">
        <v>7200</v>
      </c>
      <c r="D29" s="8" t="s">
        <v>459</v>
      </c>
    </row>
    <row r="30" customFormat="false" ht="41.25" hidden="false" customHeight="true" outlineLevel="0" collapsed="false">
      <c r="A30" s="8" t="s">
        <v>460</v>
      </c>
      <c r="B30" s="8" t="s">
        <v>461</v>
      </c>
      <c r="C30" s="8" t="n">
        <v>1529.83</v>
      </c>
      <c r="D30" s="8" t="s">
        <v>462</v>
      </c>
    </row>
    <row r="31" customFormat="false" ht="68.25" hidden="false" customHeight="true" outlineLevel="0" collapsed="false">
      <c r="A31" s="8" t="s">
        <v>463</v>
      </c>
      <c r="B31" s="8" t="s">
        <v>461</v>
      </c>
      <c r="C31" s="8" t="n">
        <v>3266.67</v>
      </c>
      <c r="D31" s="8" t="s">
        <v>464</v>
      </c>
    </row>
    <row r="32" customFormat="false" ht="41.25" hidden="false" customHeight="true" outlineLevel="0" collapsed="false">
      <c r="A32" s="8" t="s">
        <v>465</v>
      </c>
      <c r="B32" s="8" t="s">
        <v>461</v>
      </c>
      <c r="C32" s="8" t="n">
        <v>1742.31</v>
      </c>
      <c r="D32" s="8" t="s">
        <v>466</v>
      </c>
    </row>
    <row r="33" customFormat="false" ht="41.25" hidden="false" customHeight="true" outlineLevel="0" collapsed="false">
      <c r="A33" s="8" t="s">
        <v>467</v>
      </c>
      <c r="B33" s="8" t="s">
        <v>461</v>
      </c>
      <c r="C33" s="8" t="n">
        <v>1029.58</v>
      </c>
      <c r="D33" s="8" t="s">
        <v>468</v>
      </c>
    </row>
    <row r="34" customFormat="false" ht="68.25" hidden="false" customHeight="true" outlineLevel="0" collapsed="false">
      <c r="A34" s="8" t="s">
        <v>469</v>
      </c>
      <c r="B34" s="8" t="s">
        <v>461</v>
      </c>
      <c r="C34" s="8" t="n">
        <v>1410.21</v>
      </c>
      <c r="D34" s="8" t="s">
        <v>470</v>
      </c>
    </row>
    <row r="35" customFormat="false" ht="81.75" hidden="false" customHeight="true" outlineLevel="0" collapsed="false">
      <c r="A35" s="8" t="s">
        <v>467</v>
      </c>
      <c r="B35" s="8" t="s">
        <v>471</v>
      </c>
      <c r="C35" s="8" t="n">
        <v>1974.31</v>
      </c>
      <c r="D35" s="8" t="s">
        <v>472</v>
      </c>
    </row>
    <row r="36" customFormat="false" ht="45" hidden="false" customHeight="true" outlineLevel="0" collapsed="false">
      <c r="A36" s="8" t="s">
        <v>473</v>
      </c>
    </row>
  </sheetData>
  <mergeCells count="8">
    <mergeCell ref="A18:G18"/>
    <mergeCell ref="A19:G19"/>
    <mergeCell ref="A20:G20"/>
    <mergeCell ref="A21:G21"/>
    <mergeCell ref="A22:G22"/>
    <mergeCell ref="A23:G23"/>
    <mergeCell ref="A24:G24"/>
    <mergeCell ref="A25:G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2026-06-30T09:50:12Z</dcterms:created>
  <dc:creator>openpyxl</dc:creator>
  <dc:description/>
  <dc:language>en-US</dc:language>
  <cp:lastModifiedBy/>
  <dcterms:modified xsi:type="dcterms:W3CDTF">2026-07-03T01:39:24Z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