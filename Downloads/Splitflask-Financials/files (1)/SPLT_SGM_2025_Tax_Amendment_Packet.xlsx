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_FIRST" sheetId="1" state="visible" r:id="rId1"/>
    <sheet xmlns:r="http://schemas.openxmlformats.org/officeDocument/2006/relationships" name="SPLT_1120X_Correction" sheetId="2" state="visible" r:id="rId2"/>
    <sheet xmlns:r="http://schemas.openxmlformats.org/officeDocument/2006/relationships" name="SGM_1120S_Correction" sheetId="3" state="visible" r:id="rId3"/>
    <sheet xmlns:r="http://schemas.openxmlformats.org/officeDocument/2006/relationships" name="Chase_Card_Expense_Detail" sheetId="4" state="visible" r:id="rId4"/>
    <sheet xmlns:r="http://schemas.openxmlformats.org/officeDocument/2006/relationships" name="CPA_Action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1F4E79"/>
    </font>
    <font>
      <name val="Arial"/>
      <b val="1"/>
      <color rgb="001F7A1F"/>
    </font>
    <font>
      <name val="Arial"/>
      <b val="1"/>
      <color rgb="00CC000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3" fontId="0" fillId="0" borderId="0" applyAlignment="1" pivotButton="0" quotePrefix="0" xfId="0">
      <alignment horizontal="right"/>
    </xf>
    <xf numFmtId="0" fontId="2" fillId="2" borderId="0" pivotButton="0" quotePrefix="0" xfId="0"/>
    <xf numFmtId="3" fontId="2" fillId="2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right"/>
    </xf>
    <xf numFmtId="3" fontId="5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SPLT INC &amp; SOCIAL GEAR MEDIA — 2025 TAX AMENDMENT PACKET</t>
        </is>
      </c>
    </row>
    <row r="2">
      <c r="A2" s="2" t="inlineStr">
        <is>
          <t>Prepared for CPA (TJ) execution. Reconstruction basis, not filed-ready returns. Not tax or legal advice.</t>
        </is>
      </c>
    </row>
    <row r="3">
      <c r="A3" s="3" t="inlineStr">
        <is>
          <t>Both 2025 returns were filed using total bank deposits as income and total withdrawals as expenses (a raw</t>
        </is>
      </c>
    </row>
    <row r="4">
      <c r="A4" s="3" t="inlineStr">
        <is>
          <t>bank-feed identity). This packet corrects both to a source-documented basis. Instrument: Form 1120-X (SPLT,</t>
        </is>
      </c>
    </row>
    <row r="5">
      <c r="A5" s="3" t="inlineStr">
        <is>
          <t>C-corp) and amended Form 1120-S (SGM, S-corp).</t>
        </is>
      </c>
    </row>
    <row r="6">
      <c r="A6" s="3" t="inlineStr"/>
    </row>
    <row r="7">
      <c r="A7" s="4" t="inlineStr">
        <is>
          <t>HEADLINE RESULTS (corrected):</t>
        </is>
      </c>
    </row>
    <row r="8">
      <c r="A8" s="5" t="inlineStr">
        <is>
          <t xml:space="preserve">  SPLT INC taxable income: $6,927  (near breakeven; est. tax ~$2,067)</t>
        </is>
      </c>
    </row>
    <row r="9">
      <c r="A9" s="5" t="inlineStr">
        <is>
          <t xml:space="preserve">  Social Gear Media ordinary income: $-4,778 (small loss; passes to 1040)</t>
        </is>
      </c>
    </row>
    <row r="10">
      <c r="A10" s="3" t="inlineStr"/>
    </row>
    <row r="11">
      <c r="A11" s="6" t="inlineStr">
        <is>
          <t>KEY DRIVERS &amp; FLAGS:</t>
        </is>
      </c>
    </row>
    <row r="12">
      <c r="A12" s="3" t="inlineStr">
        <is>
          <t>1. SPLT units: 15,000 imported / 11,244 SOLD / 3,756 ending. COGS is units-sold only; the 3,756 ending</t>
        </is>
      </c>
    </row>
    <row r="13">
      <c r="A13" s="3" t="inlineStr">
        <is>
          <t xml:space="preserve">   units are a $40,624 inventory asset (deductible only when sold), not a 2025 expense.</t>
        </is>
      </c>
    </row>
    <row r="14">
      <c r="A14" s="3" t="inlineStr">
        <is>
          <t>2. Chase card expenses recovered: Riz's personal Chase card (...3247) carried $113,499 of business spend</t>
        </is>
      </c>
    </row>
    <row r="15">
      <c r="A15" s="3" t="inlineStr">
        <is>
          <t xml:space="preserve">   that was never in the filed P&amp;L. Of the Meta/Facebook ads on it, $17,809 were for OTHER ventures (not</t>
        </is>
      </c>
    </row>
    <row r="16">
      <c r="A16" s="3" t="inlineStr">
        <is>
          <t xml:space="preserve">   Splitflask) per the invoice export and are EXCLUDED. Net SPLT-deductible card expense: $95,691.</t>
        </is>
      </c>
    </row>
    <row r="17">
      <c r="A17" s="3" t="inlineStr">
        <is>
          <t xml:space="preserve">   Personal charges (cruises, Miami trip, Zara, salon, Tesla service) were excluded line-by-line.</t>
        </is>
      </c>
    </row>
    <row r="18">
      <c r="A18" s="3" t="inlineStr">
        <is>
          <t>3. Advertising is now ~$93k (bank $22,849 + card Splitflask ads ~$70k) = ~33% of revenue. High but</t>
        </is>
      </c>
    </row>
    <row r="19">
      <c r="A19" s="3" t="inlineStr">
        <is>
          <t xml:space="preserve">   consistent with an aggressive DTC scale-up. OPEN VERIFICATION: confirm the card Splitflask-Meta and the</t>
        </is>
      </c>
    </row>
    <row r="20">
      <c r="A20" s="3" t="inlineStr">
        <is>
          <t xml:space="preserve">   bank Splitflask-Meta are different ad accounts/periods (not the same campaigns double-billed). Pull the</t>
        </is>
      </c>
    </row>
    <row r="21">
      <c r="A21" s="3" t="inlineStr">
        <is>
          <t xml:space="preserve">   bank Meta invoice export to close this fully.</t>
        </is>
      </c>
    </row>
    <row r="22">
      <c r="A22" s="3" t="inlineStr">
        <is>
          <t>4. Owner $12,883 draw = shareholder-loan repayment (NOT distribution/comp). Loan account supports it:</t>
        </is>
      </c>
    </row>
    <row r="23">
      <c r="A23" s="3" t="inlineStr">
        <is>
          <t xml:space="preserve">   advances ~$64,387, repayments $39,100, ending balance +$25,287 owed to Riz per signed agreement. No</t>
        </is>
      </c>
    </row>
    <row r="24">
      <c r="A24" s="3" t="inlineStr">
        <is>
          <t xml:space="preserve">   distribution issue, no payroll required.</t>
        </is>
      </c>
    </row>
    <row r="25">
      <c r="A25" s="3" t="inlineStr">
        <is>
          <t>5. Atlantic Access (EU/UK): 1,400 units shipped to them are CONSIGNMENT, not a sale. They came from SGM's</t>
        </is>
      </c>
    </row>
    <row r="26">
      <c r="A26" s="3" t="inlineStr">
        <is>
          <t xml:space="preserve">   2024 carryover; only units sold through to end customers are recognized. Units remain SGM inventory</t>
        </is>
      </c>
    </row>
    <row r="27">
      <c r="A27" s="3" t="inlineStr">
        <is>
          <t xml:space="preserve">   (in EU); Atlantic Access net remittances are SGM revenue.</t>
        </is>
      </c>
    </row>
    <row r="28">
      <c r="A28" s="3" t="inlineStr"/>
    </row>
    <row r="29">
      <c r="A29" s="6" t="inlineStr">
        <is>
          <t>ITEMS TO COMPLETE BEFORE FILING:</t>
        </is>
      </c>
    </row>
    <row r="30">
      <c r="A30" s="3" t="inlineStr">
        <is>
          <t xml:space="preserve">  a. Lock units-sold (11,244) to a year-end physical count + platform unit-sold reports.</t>
        </is>
      </c>
    </row>
    <row r="31">
      <c r="A31" s="3" t="inlineStr">
        <is>
          <t xml:space="preserve">  b. Retrieve the Dec 9-31 card tail (Jan-2026 statement): ~$3-6k additional 2025 business expense.</t>
        </is>
      </c>
    </row>
    <row r="32">
      <c r="A32" s="3" t="inlineStr">
        <is>
          <t xml:space="preserve">  c. Substantiate the Feb Sydney trip business purpose (SPLT); keep itinerary/agenda.</t>
        </is>
      </c>
    </row>
    <row r="33">
      <c r="A33" s="3" t="inlineStr">
        <is>
          <t xml:space="preserve">  d. SGM deductible OpEx (~$35,346) is an estimate pending a full 12-month bank-debit category rebuild.</t>
        </is>
      </c>
    </row>
    <row r="34">
      <c r="A34" s="3" t="inlineStr">
        <is>
          <t xml:space="preserve">  e. Confirm the $17,809 non-Splitflask Meta figure (packet computed $17,819; ~$10 diff to reconcile).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SPLT INC — Form 1120-X Correction (C-corp, FY2025)</t>
        </is>
      </c>
    </row>
    <row r="3">
      <c r="A3" s="7" t="inlineStr">
        <is>
          <t>Line</t>
        </is>
      </c>
      <c r="B3" s="7" t="inlineStr">
        <is>
          <t>As Filed ($)</t>
        </is>
      </c>
      <c r="C3" s="7" t="inlineStr">
        <is>
          <t>Corrected ($)</t>
        </is>
      </c>
      <c r="D3" s="7" t="inlineStr">
        <is>
          <t>Change ($)</t>
        </is>
      </c>
    </row>
    <row r="4">
      <c r="A4" s="3" t="inlineStr">
        <is>
          <t>Gross receipts / sales</t>
        </is>
      </c>
      <c r="B4" s="8" t="n">
        <v>369980.88</v>
      </c>
      <c r="C4" s="8" t="n">
        <v>279814.86</v>
      </c>
      <c r="D4" s="8" t="n">
        <v>-90166.02</v>
      </c>
    </row>
    <row r="5">
      <c r="A5" s="3" t="inlineStr">
        <is>
          <t xml:space="preserve">  strip $90,166 non-sales (equity, Kickstarter, founder loans, mold pass-through)</t>
        </is>
      </c>
      <c r="B5" t="inlineStr"/>
      <c r="C5" t="inlineStr"/>
    </row>
    <row r="6">
      <c r="A6" s="3" t="inlineStr">
        <is>
          <t>COGS (11,244 units sold @ $10.82 landed + B2B $1,432)</t>
        </is>
      </c>
      <c r="B6" t="inlineStr"/>
      <c r="C6" t="inlineStr"/>
    </row>
    <row r="7">
      <c r="A7" s="3" t="inlineStr">
        <is>
          <t xml:space="preserve">  </t>
        </is>
      </c>
      <c r="B7" t="inlineStr">
        <is>
          <t xml:space="preserve"> </t>
        </is>
      </c>
      <c r="C7" s="8" t="n">
        <v>123042.96</v>
      </c>
    </row>
    <row r="8">
      <c r="A8" s="9" t="inlineStr">
        <is>
          <t>GROSS PROFIT</t>
        </is>
      </c>
      <c r="B8" s="9" t="inlineStr"/>
      <c r="C8" s="10" t="n">
        <v>156771.9</v>
      </c>
      <c r="D8" s="9" t="n"/>
    </row>
    <row r="9">
      <c r="A9" s="3" t="inlineStr">
        <is>
          <t>Operating expenses — bank account</t>
        </is>
      </c>
      <c r="B9" t="inlineStr"/>
      <c r="C9" s="8" t="n">
        <v>54154.51</v>
      </c>
    </row>
    <row r="10">
      <c r="A10" s="3" t="inlineStr">
        <is>
          <t>Operating expenses — Chase card (SPLT business only)</t>
        </is>
      </c>
      <c r="B10" t="inlineStr"/>
      <c r="C10" s="8" t="n">
        <v>95690.53999999999</v>
      </c>
    </row>
    <row r="11">
      <c r="A11" s="3" t="inlineStr">
        <is>
          <t xml:space="preserve">  (card total $113,499 less $17,809 non-Splitflask Meta ads)</t>
        </is>
      </c>
      <c r="B11" t="inlineStr"/>
      <c r="C11" t="inlineStr"/>
    </row>
    <row r="12">
      <c r="A12" s="2" t="inlineStr">
        <is>
          <t>Total operating expenses</t>
        </is>
      </c>
      <c r="B12" s="2" t="inlineStr"/>
      <c r="C12" s="11" t="n">
        <v>149845.05</v>
      </c>
      <c r="D12" s="2" t="n"/>
    </row>
    <row r="13">
      <c r="A13" s="9" t="inlineStr">
        <is>
          <t>TAXABLE INCOME</t>
        </is>
      </c>
      <c r="B13" s="9" t="inlineStr"/>
      <c r="C13" s="10" t="n">
        <v>6926.85</v>
      </c>
      <c r="D13" s="9" t="n"/>
    </row>
    <row r="14">
      <c r="A14" s="2" t="inlineStr">
        <is>
          <t>Est. C-corp tax (fed 21% + CA 8.84%)</t>
        </is>
      </c>
      <c r="B14" s="2" t="inlineStr"/>
      <c r="C14" s="11" t="n">
        <v>2066.97</v>
      </c>
      <c r="D14" s="2" t="n"/>
    </row>
    <row r="16">
      <c r="A16" s="2" t="inlineStr">
        <is>
          <t>Balance sheet — ending inventory (3,756 units @ $10.82):</t>
        </is>
      </c>
    </row>
    <row r="17">
      <c r="A17" s="9" t="inlineStr">
        <is>
          <t xml:space="preserve">  Inventory asset</t>
        </is>
      </c>
      <c r="B17" s="9" t="inlineStr"/>
      <c r="C17" s="10" t="n">
        <v>40623.64</v>
      </c>
      <c r="D17" s="9" t="n"/>
    </row>
    <row r="19" ht="60" customHeight="1">
      <c r="A19" s="12" t="inlineStr">
        <is>
          <t>Owner $12,883 draw treated as shareholder-loan repayment (below the line). Chase card business expense is net of $17,809 non-Splitflask Meta ads and all personal charges. Advertising ~33% of revenue reflects DTC scale-up. Dec 9-31 card tail not yet included (add from Jan-2026 statement).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SOCIAL GEAR MEDIA — Amended 1120-S (S-corp, FY2025)</t>
        </is>
      </c>
    </row>
    <row r="3">
      <c r="A3" s="7" t="inlineStr">
        <is>
          <t>Line</t>
        </is>
      </c>
      <c r="B3" s="7" t="inlineStr">
        <is>
          <t>As Filed ($)</t>
        </is>
      </c>
      <c r="C3" s="7" t="inlineStr">
        <is>
          <t>Corrected ($)</t>
        </is>
      </c>
      <c r="D3" s="7" t="inlineStr">
        <is>
          <t>Change ($)</t>
        </is>
      </c>
    </row>
    <row r="4">
      <c r="A4" s="3" t="inlineStr">
        <is>
          <t>Total income</t>
        </is>
      </c>
      <c r="B4" s="8" t="n">
        <v>130976.23</v>
      </c>
      <c r="C4" s="8" t="n">
        <v>52200</v>
      </c>
      <c r="D4" s="8" t="n">
        <v>-78776.23</v>
      </c>
    </row>
    <row r="5">
      <c r="A5" s="3" t="inlineStr">
        <is>
          <t xml:space="preserve">  strip $78,776 (loans, intercompany, refunds, fraud credits, Teslarati non-SGM)</t>
        </is>
      </c>
      <c r="B5" t="inlineStr"/>
      <c r="C5" t="inlineStr"/>
    </row>
    <row r="6">
      <c r="A6" s="3" t="inlineStr">
        <is>
          <t>COGS (2,080 units sold @ $10.40 landed, 2024 carryover)</t>
        </is>
      </c>
      <c r="B6" t="inlineStr"/>
      <c r="C6" s="8" t="n">
        <v>21632</v>
      </c>
    </row>
    <row r="7">
      <c r="A7" s="9" t="inlineStr">
        <is>
          <t>GROSS PROFIT</t>
        </is>
      </c>
      <c r="B7" s="9" t="inlineStr"/>
      <c r="C7" s="10" t="n">
        <v>30568</v>
      </c>
      <c r="D7" s="9" t="n"/>
    </row>
    <row r="8">
      <c r="A8" s="3" t="inlineStr">
        <is>
          <t>Deductible OpEx (ESTIMATE — needs 12-mo debit rebuild)</t>
        </is>
      </c>
      <c r="B8" s="8" t="n">
        <v>137875.65</v>
      </c>
      <c r="C8" s="8" t="n">
        <v>35346</v>
      </c>
      <c r="D8" s="8" t="n">
        <v>-102529.65</v>
      </c>
    </row>
    <row r="9">
      <c r="A9" s="9" t="inlineStr">
        <is>
          <t>ORDINARY INCOME (K-1)</t>
        </is>
      </c>
      <c r="B9" s="10" t="n">
        <v>-6899.42</v>
      </c>
      <c r="C9" s="10" t="n">
        <v>-4778</v>
      </c>
      <c r="D9" s="10" t="n">
        <v>2121.42</v>
      </c>
    </row>
    <row r="11">
      <c r="A11" s="2" t="inlineStr">
        <is>
          <t>Ending inventory (units):</t>
        </is>
      </c>
    </row>
    <row r="12">
      <c r="A12" s="2" t="inlineStr">
        <is>
          <t xml:space="preserve">  US + EU-consignment: 3,920 units @ $10.40</t>
        </is>
      </c>
      <c r="B12" s="2" t="inlineStr"/>
      <c r="C12" s="11" t="n">
        <v>40768</v>
      </c>
      <c r="D12" s="2" t="n"/>
    </row>
    <row r="14" ht="60" customHeight="1">
      <c r="A14" s="12" t="inlineStr">
        <is>
          <t>Atlantic Access (EU/UK) is consignment: 1,400 units shipped from SGM 2024 carryover remain SGM inventory (physically in EU) until sold through; only sold-through units are COGS. AA net remittances are SGM revenue. SGM stays a small loss -&gt; amendment is composition accuracy, minimal K-1/1040 impact.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</cols>
  <sheetData>
    <row r="1">
      <c r="A1" s="1" t="inlineStr">
        <is>
          <t>SPLT Chase Card (...3247) — 2025 Business Expense Recovered</t>
        </is>
      </c>
    </row>
    <row r="3">
      <c r="A3" s="7" t="inlineStr">
        <is>
          <t>Billing Cycle</t>
        </is>
      </c>
      <c r="B3" s="7" t="inlineStr">
        <is>
          <t>Business ($)</t>
        </is>
      </c>
      <c r="C3" s="7" t="inlineStr">
        <is>
          <t>Note</t>
        </is>
      </c>
    </row>
    <row r="4">
      <c r="A4" s="3" t="inlineStr">
        <is>
          <t>Feb 9 - Mar 8</t>
        </is>
      </c>
      <c r="B4" s="8" t="n">
        <v>18410.69</v>
      </c>
      <c r="C4" s="3" t="inlineStr">
        <is>
          <t>ex-DavidIsei (charged+reversed)</t>
        </is>
      </c>
    </row>
    <row r="5">
      <c r="A5" s="3" t="inlineStr">
        <is>
          <t>Mar 9 - Apr 8</t>
        </is>
      </c>
      <c r="B5" s="8" t="n">
        <v>26760.79</v>
      </c>
      <c r="C5" s="3" t="inlineStr"/>
    </row>
    <row r="6">
      <c r="A6" s="3" t="inlineStr">
        <is>
          <t>Apr 9 - May 8</t>
        </is>
      </c>
      <c r="B6" s="8" t="n">
        <v>14278.07</v>
      </c>
      <c r="C6" s="3" t="inlineStr">
        <is>
          <t>incl personal cruise (excl)</t>
        </is>
      </c>
    </row>
    <row r="7">
      <c r="A7" s="3" t="inlineStr">
        <is>
          <t>May 9 - Jun 8</t>
        </is>
      </c>
      <c r="B7" s="8" t="n">
        <v>19741</v>
      </c>
      <c r="C7" s="3" t="inlineStr"/>
    </row>
    <row r="8">
      <c r="A8" s="3" t="inlineStr">
        <is>
          <t>Jun 9 - Jul 8</t>
        </is>
      </c>
      <c r="B8" s="8" t="n">
        <v>8362.24</v>
      </c>
      <c r="C8" s="3" t="inlineStr"/>
    </row>
    <row r="9">
      <c r="A9" s="3" t="inlineStr">
        <is>
          <t>Jul 9 - Aug 8</t>
        </is>
      </c>
      <c r="B9" s="8" t="n">
        <v>8205.790000000001</v>
      </c>
      <c r="C9" s="3" t="inlineStr">
        <is>
          <t>recovered missing cycle</t>
        </is>
      </c>
    </row>
    <row r="10">
      <c r="A10" s="3" t="inlineStr">
        <is>
          <t>Aug 9 - Sep 8</t>
        </is>
      </c>
      <c r="B10" s="8" t="n">
        <v>6076.01</v>
      </c>
      <c r="C10" s="3" t="inlineStr"/>
    </row>
    <row r="11">
      <c r="A11" s="3" t="inlineStr">
        <is>
          <t>Sep 9 - Oct 8</t>
        </is>
      </c>
      <c r="B11" s="8" t="n">
        <v>3167.25</v>
      </c>
      <c r="C11" s="3" t="inlineStr"/>
    </row>
    <row r="12">
      <c r="A12" s="3" t="inlineStr">
        <is>
          <t>Oct 9 - Nov 8</t>
        </is>
      </c>
      <c r="B12" s="8" t="n">
        <v>2607.57</v>
      </c>
      <c r="C12" s="3" t="inlineStr"/>
    </row>
    <row r="13">
      <c r="A13" s="3" t="inlineStr">
        <is>
          <t>Nov 9 - Dec 8</t>
        </is>
      </c>
      <c r="B13" s="8" t="n">
        <v>5889.86</v>
      </c>
      <c r="C13" s="3" t="inlineStr"/>
    </row>
    <row r="14">
      <c r="A14" s="2" t="inlineStr">
        <is>
          <t>TOTAL (all ventures)</t>
        </is>
      </c>
      <c r="B14" s="11" t="n">
        <v>113499.27</v>
      </c>
    </row>
    <row r="15">
      <c r="A15" s="6" t="inlineStr">
        <is>
          <t>Less: non-Splitflask Meta ads</t>
        </is>
      </c>
      <c r="B15" s="13" t="n">
        <v>-17808.73</v>
      </c>
    </row>
    <row r="16">
      <c r="A16" s="5">
        <f> SPLT-deductible card expense</f>
        <v/>
      </c>
      <c r="B16" s="14" t="n">
        <v>95690.53999999999</v>
      </c>
    </row>
    <row r="18" ht="55" customHeight="1">
      <c r="A18" s="12" t="inlineStr">
        <is>
          <t>Categories: Facebook/Snap/Reddit/TikTok ads, Veeqo fulfillment, Klaviyo, Shopify fees, software (OpenAI/Claude/IONOS/Google/Intuit), PatentYogi, video production, Next Insurance, ASI, Alibaba, USPTO, phone. Personal excluded line-by-line. Dec 9-31 tail pending Jan-2026 statement.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" customWidth="1" min="1" max="1"/>
    <col width="104" customWidth="1" min="2" max="2"/>
  </cols>
  <sheetData>
    <row r="1">
      <c r="A1" s="1" t="inlineStr">
        <is>
          <t>CPA (TJ) Action Items — 2025 Amendments</t>
        </is>
      </c>
    </row>
    <row r="3">
      <c r="A3" s="2" t="n">
        <v>1</v>
      </c>
      <c r="B3" s="12" t="inlineStr">
        <is>
          <t>Prepare 1120-X (SPLT) and amended 1120-S (SGM); both filed returns used raw bank-feed identity.</t>
        </is>
      </c>
    </row>
    <row r="4">
      <c r="A4" s="2" t="n">
        <v>2</v>
      </c>
      <c r="B4" s="12" t="inlineStr">
        <is>
          <t>SPLT revenue: $369,981 -&gt; $279,815 (strip equity, Kickstarter, founder-loan advances, mold pass-through).</t>
        </is>
      </c>
    </row>
    <row r="5">
      <c r="A5" s="2" t="n">
        <v>3</v>
      </c>
      <c r="B5" s="12" t="inlineStr">
        <is>
          <t>SPLT COGS: 11,244 units sold @ $10.82 landed + $1,432 B2B = $123,043; reverse phantom COGS.</t>
        </is>
      </c>
    </row>
    <row r="6">
      <c r="A6" s="2" t="n">
        <v>4</v>
      </c>
      <c r="B6" s="12" t="inlineStr">
        <is>
          <t>SPLT ending inventory asset: 3,756 units @ $10.82 = $40,624.</t>
        </is>
      </c>
    </row>
    <row r="7">
      <c r="A7" s="2" t="n">
        <v>5</v>
      </c>
      <c r="B7" s="12" t="inlineStr">
        <is>
          <t>SPLT add Chase card business expense $95,691 (card $113,499 less $17,809 non-Splitflask Meta); exclude personal.</t>
        </is>
      </c>
    </row>
    <row r="8">
      <c r="A8" s="2" t="n">
        <v>6</v>
      </c>
      <c r="B8" s="12" t="inlineStr">
        <is>
          <t>Verify card Splitflask-Meta vs bank Splitflask-Meta are not the same campaigns (pull bank Meta export).</t>
        </is>
      </c>
    </row>
    <row r="9">
      <c r="A9" s="2" t="n">
        <v>7</v>
      </c>
      <c r="B9" s="12" t="inlineStr">
        <is>
          <t>Reconcile non-Splitflask Meta total ($17,809 stated vs $17,819 computed; ~$10 diff).</t>
        </is>
      </c>
    </row>
    <row r="10">
      <c r="A10" s="2" t="n">
        <v>8</v>
      </c>
      <c r="B10" s="12" t="inlineStr">
        <is>
          <t>Add Dec 9-31 card tail from Jan-2026 statement (~$3-6k more SPLT expense).</t>
        </is>
      </c>
    </row>
    <row r="11">
      <c r="A11" s="2" t="n">
        <v>9</v>
      </c>
      <c r="B11" s="12" t="inlineStr">
        <is>
          <t>Substantiate Feb Sydney trip business purpose; retain itinerary.</t>
        </is>
      </c>
    </row>
    <row r="12">
      <c r="A12" s="2" t="n">
        <v>10</v>
      </c>
      <c r="B12" s="12" t="inlineStr">
        <is>
          <t>SPLT owner $12,883 draw = shareholder-loan repayment; reconcile loan T-account (ending +$25,287 to Riz).</t>
        </is>
      </c>
    </row>
    <row r="13">
      <c r="A13" s="2" t="n">
        <v>11</v>
      </c>
      <c r="B13" s="12" t="inlineStr">
        <is>
          <t>SGM income: $130,976 -&gt; $52,200 (strip loans/intercompany/refunds/Teslarati).</t>
        </is>
      </c>
    </row>
    <row r="14">
      <c r="A14" s="2" t="n">
        <v>12</v>
      </c>
      <c r="B14" s="12" t="inlineStr">
        <is>
          <t>SGM COGS 2,080 units @ $10.40 = $21,632; ending inventory 3,920 units @ $10.40 = $40,768.</t>
        </is>
      </c>
    </row>
    <row r="15">
      <c r="A15" s="2" t="n">
        <v>13</v>
      </c>
      <c r="B15" s="12" t="inlineStr">
        <is>
          <t>SGM: treat Atlantic Access 1,400 units as consignment inventory (in EU), not a sale; AA net = SGM revenue.</t>
        </is>
      </c>
    </row>
    <row r="16">
      <c r="A16" s="2" t="n">
        <v>14</v>
      </c>
      <c r="B16" s="12" t="inlineStr">
        <is>
          <t>SGM deductible OpEx: rebuild from full 12-month bank-debit classification (~$35,346 estimate).</t>
        </is>
      </c>
    </row>
    <row r="17">
      <c r="A17" s="2" t="n">
        <v>15</v>
      </c>
      <c r="B17" s="12" t="inlineStr">
        <is>
          <t>Confirm cash vs accrual method consistent across 2024 and 2025 for both entities.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2026-07-08T05:09:39Z</dcterms:created>
  <dcterms:modified xmlns:dcterms="http://purl.org/dc/terms/" xmlns:xsi="http://www.w3.org/2001/XMLSchema-instance" xsi:type="dcterms:W3CDTF">2026-07-08T05:09:39Z</dcterms:modified>
</cp:coreProperties>
</file>