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Findings" sheetId="1" state="visible" r:id="rId3"/>
    <sheet name="Intercompany_RelatedParty" sheetId="2" state="visible" r:id="rId4"/>
    <sheet name="OnAir_Claims_Reconciliation" sheetId="3" state="visible" r:id="rId5"/>
    <sheet name="PL_Annual_TaxBasis" sheetId="4" state="visible" r:id="rId6"/>
    <sheet name="PL_Monthly_2024_SocialGear" sheetId="5" state="visible" r:id="rId7"/>
    <sheet name="PL_Monthly_2025_SPLT" sheetId="6" state="visible" r:id="rId8"/>
    <sheet name="SUPPL_SocialGear_2025_PL" sheetId="7" state="visible" r:id="rId9"/>
    <sheet name="CF_2023_SocialGear" sheetId="8" state="visible" r:id="rId10"/>
    <sheet name="CF_Monthly_2024_SocialGear" sheetId="9" state="visible" r:id="rId11"/>
    <sheet name="CF_Monthly_2025_SPLT" sheetId="10" state="visible" r:id="rId12"/>
    <sheet name="CF_Monthly_2026YTD_SPLT" sheetId="11" state="visible" r:id="rId13"/>
    <sheet name="Balance_Sheet_YearEnd" sheetId="12" state="visible" r:id="rId14"/>
    <sheet name="GL_TB_Reconstructed" sheetId="13" state="visible" r:id="rId15"/>
    <sheet name="AR_AP_Aging" sheetId="14" state="visible" r:id="rId16"/>
    <sheet name="Gross_Margin" sheetId="15" state="visible" r:id="rId17"/>
    <sheet name="Forecast_24_36mo" sheetId="16" state="visible" r:id="rId18"/>
    <sheet name="Debt_Schedule" sheetId="17" state="visible" r:id="rId19"/>
    <sheet name="Credit_Cards" sheetId="18" state="visible" r:id="rId20"/>
    <sheet name="Bank_Stmt_Index" sheetId="19" state="visible" r:id="rId21"/>
    <sheet name="Revenue_by_Channel"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<sst xmlns="http://schemas.openxmlformats.org/spreadsheetml/2006/main" count="689" uniqueCount="480">
  <si>
    <t xml:space="preserve">SPLT INC Due Diligence — Key Findings &amp; Methodology</t>
  </si>
  <si>
    <t xml:space="preserve">Founder loan — source of truth is the signed loan agreement</t>
  </si>
  <si>
    <t xml:space="preserve">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</si>
  <si>
    <t xml:space="preserve">No general ledger / accounting system exists</t>
  </si>
  <si>
    <t xml:space="preserve">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</si>
  <si>
    <t xml:space="preserve">Social Gear Media LLC lost money in 2025</t>
  </si>
  <si>
    <t xml:space="preserve">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</si>
  <si>
    <t xml:space="preserve">Entity transition timing</t>
  </si>
  <si>
    <t xml:space="preserve">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</si>
  <si>
    <t xml:space="preserve">2026 cash position is tight</t>
  </si>
  <si>
    <t xml:space="preserve">SPLT INC's bank-confirmed cash balance was $9,850.39 at 12/31/2025, dropping to as low as $91.04 (May 2025) and recovering only modestly through 2026. This is consistent with the burn/runway concern flagged earlier.</t>
  </si>
  <si>
    <t xml:space="preserve">Intercompany / personal transactions in bank feed</t>
  </si>
  <si>
    <t xml:space="preserve">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</si>
  <si>
    <t xml:space="preserve">STRUCTURAL CLARIFICATION: Social Gear Media LLC role</t>
  </si>
  <si>
    <t xml:space="preserve">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</si>
  <si>
    <t xml:space="preserve">2025 intercompany transfers QUANTIFIED (7/2/26 statement review)</t>
  </si>
  <si>
    <t xml:space="preserve">All eleven SPLT INC 2025 statements read line-by-line (eleven = complete year: account opened 1/28/25; first statement covers 1/28-2/28; no January-only statement exists).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</si>
  <si>
    <t xml:space="preserve">Chukwuezugo $3,266.67 wire (4/2/25) RECLASSIFIED</t>
  </si>
  <si>
    <t xml:space="preserve">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</si>
  <si>
    <t xml:space="preserve">Commingling items to clean before submission</t>
  </si>
  <si>
    <t xml:space="preserve">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</si>
  <si>
    <t xml:space="preserve">Chase card documented; Cyberbrands LLC surfaced as third related entity (7/2/26)</t>
  </si>
  <si>
    <t xml:space="preserve">Chase Sapphire Reserve stmt 6/8/26: $22,055.63 balance on $22,500 line (98% utilized), 27.74% APR, $1,500/mo fixed autopay, min $764 due 7/5/26, 2026 YTD interest $2,905.84 + $550 fees, May-26 payment returned and repaid 6/5. Amex balance still unknown — balance sheet card liability is Chase-only. Cyberbrands LLC (common owner) holds: the Kickstarter campaign account (~$54.4K routed into SPLT), the warehouse master lease ($2,500/mo — SPLT pays landlord directly), and the Santander vehicle lease (SPLT primary user/payer). REQUIRED PAPER: (1) Cyberbrands-&gt;SPLT sublease authorizing direct landlord payment; (2) Vehicle Use &amp; Reimbursement Agreement; (3) Kickstarter Proceeds Assignment memo. SPLT confirmed C corp — management-fee structure to founder LLC is standard if documented and reasonable (IRC §162).</t>
  </si>
  <si>
    <t xml:space="preserve">Amex documented — total card debt doubles to $47,383.40 (7/2/26)</t>
  </si>
  <si>
    <t xml:space="preserve">Amex Platinum stmt 6/19/26: $25,327.77 balance on a legacy 9.99% Pay Over Time plan, $1,235/mo, ~23 months to payoff per Amex disclosure, Combined with Chase, total card debt is $47,383.40 vs the $22,060 previously carried — balance sheet and TB updated for 5/31/26; 12/31/25 remains understated pending year-end statements. Rent chain CORRECTED: SPLT rents directly from landlord (no Cyberbrands sublease); mold payment FINALIZED as completed $9,800 pass-through, customer owns mold. Four legal drafts + mold invoice produced 7/2/26 for attorney review and signature.</t>
  </si>
  <si>
    <t xml:space="preserve">Investor context: Shark Tank equity deal (episode unaired) — diligence posture updated (7/2/26)</t>
  </si>
  <si>
    <t xml:space="preserve">Investment is an on-air Shark Tank deal pending the show's due diligence process. Implications: (1) equity DD, not loan underwriting — no personal guarantee expected, but the shark's team verifies every on-air claim against the books: see the new OnAir_Claims_Reconciliation tab and fill it before any diligence call; (2) airing creates both unmodeled sales upside and a funding-timing risk (see Forecast note); (3) entity classification finalized: Chase = SPLT business card ($22,055.63 on SPLT books); Amex = Social Gear obligation (excluded; disclosed); 2025 SPLT-&gt;SGM value transfer restated to $5,550 including SPLT's $3,705 of Amex payments — this figure anchors the 2025 Intercompany Settlement Memo (drafted 7/2/26) alongside the forward-only Contractor Services Agreement (drafted 7/2/26).</t>
  </si>
  <si>
    <t xml:space="preserve">On-air 2024 revenue figure — verified, reconciled, correction drafted (7/2/26)</t>
  </si>
  <si>
    <t xml:space="preserve">Founder stated on air that 2024 revenue was ~$895K. Verification against bank-confirmed data: total 2024 deposits into the Social Gear account were $895,754.12 — the figure cited was the deposit total, not gross receipts. Filed 2024 revenue: $418,990. Combined 2024+2025 revenue: $919,947 (+19.6% YoY). A written Financial Clarification Memorandum was drafted for proactive delivery to the investor team before diligence, with full reconciliation. Non-revenue 2024 inflows (~$476,764) comprised financing advances (Parafin), founder and intercompany transfers, and other non-sales deposits — itemization available from the same statements already in the data room.</t>
  </si>
  <si>
    <t xml:space="preserve">2024 deposit classification complete — memo Section 3 corrected; CPA bridge required (7/2/26)</t>
  </si>
  <si>
    <t xml:space="preserve">All 906 deposit lines on the twelve 2024 SGM statements individually classified; grand total ties to $895,754.12 to the penny. Non-revenue inflows = $290,837.90 (NOT the $476,764 arithmetic figure previously assumed — Clarification Memo updated to v2). NEW FINDING requiring CPA action before the memo is sent: sales-type bank receipts of $604,916.22 (net of platform fees) exceed the filed $418,990 gross receipts by $185,926.22. Candidate bridges: Cyberbrands product revenue (e.g., ESP Promo $57,600) deposited here but reported on Cyberbrands' return; Teslarati service income $14,269.52; Shaed POs $30,000 possibly pass-through; personally-registered Shopify/Amazon accounts. The bridge must exist in the tax workpapers — a diligence analyst or tax authority reading these statements can compute the same $604,916 figure this review did.</t>
  </si>
  <si>
    <t xml:space="preserve">Source documents verified; 2024 bridge closed; SBA terms documented (7/3/26)</t>
  </si>
  <si>
    <t xml:space="preserve">SGM 1120-S returns (2024, 2025) and SBA EIDL Loan Authorization now in data room and verified. 2024 bridge closed: filed revenue across returns $558,603 (SGM $418,990 + Cyberbrands Sch C $139,613) vs $626,287 bank sales-type receipts; residual ~$10K after ESP Promo allocation (CPA to confirm). SBA EIDL: $404,200 @ 3.75%, $2,018/mo, blanket UCC lien on SGM collateral, founder personal guarantee (Form 2128), no-transfer covenant — see Entity_Arrangement_Model.xlsx for the proposed cure and go-forward structure. SGM 2025 restated to 1120-S: -$32,900 loss. IP assignment to SPLT verified (1/24/25, all patents/TMs/Hague) — confirm USPTO recordation.</t>
  </si>
  <si>
    <t xml:space="preserve">June 2026 statement added; five related-party agreements executed (7/3/26)</t>
  </si>
  <si>
    <t xml:space="preserve">June 2026: deposits $6,214.22 (vs $16,451 avg), ending balance -$52.89 (overdrawn). Cash runway exhausted pre-raise; fund account before 7/5 Chase autopay. EXECUTED July 2026: family promissory note, vehicle use agreement, mold services invoice, Kickstarter proceeds assignment, warehouse rental agreement. Family loan removed from SPLT BS/TB entirely (SGM obligation under signed note; disclosure on Debt_Schedule). 2024 attribution finalized per management — see SGM_2024_Deposit_Classification_Schedule_v3 Amendment_Decision tab: apparent SGM under-reporting $119,972-$153,027 (net-of-fees); CPA amendment decision required before diligence.</t>
  </si>
  <si>
    <t xml:space="preserve">Intercompany &amp; Related-Party Transactions — 2025 (Bank-Verified)</t>
  </si>
  <si>
    <t xml:space="preserve">Every SPLT INC statement Feb-Dec 2025 was read line-by-line (7/2/26 review). Below is the COMPLETE set of direct SPLT INC -&gt; Social Gear Media LLC transfers and other related-party items found.</t>
  </si>
  <si>
    <t xml:space="preserve">Date</t>
  </si>
  <si>
    <t xml:space="preserve">Item</t>
  </si>
  <si>
    <t xml:space="preserve">Direction</t>
  </si>
  <si>
    <t xml:space="preserve">Amount ($)</t>
  </si>
  <si>
    <t xml:space="preserve">Memo / Evidence</t>
  </si>
  <si>
    <t xml:space="preserve">7/9/2025</t>
  </si>
  <si>
    <t xml:space="preserve">Online transfer to Social Gear Media LLC</t>
  </si>
  <si>
    <t xml:space="preserve">SPLT -&gt; SGM</t>
  </si>
  <si>
    <t xml:space="preserve">"Business Checking Balance" — WF stmt 7/31/25</t>
  </si>
  <si>
    <t xml:space="preserve">11/10/2025</t>
  </si>
  <si>
    <t xml:space="preserve">"Business Checking Balance" — WF stmt 11/30/25</t>
  </si>
  <si>
    <t xml:space="preserve">12/18/2025</t>
  </si>
  <si>
    <t xml:space="preserve">IRS USATAXPYMT for "MR Social Gear Media" paid from SPLT account</t>
  </si>
  <si>
    <t xml:space="preserve">SPLT paid SGM obligation</t>
  </si>
  <si>
    <t xml:space="preserve">Commingling item — reimburse or book to intercompany</t>
  </si>
  <si>
    <t xml:space="preserve">11/20/2025 onward</t>
  </si>
  <si>
    <t xml:space="preserve">Shopify payout payor name changes to "Social Gear Media LLC," funds land in SPLT account</t>
  </si>
  <si>
    <t xml:space="preserve">SGM-named revenue -&gt; SPLT</t>
  </si>
  <si>
    <t xml:space="preserve">(various)</t>
  </si>
  <si>
    <t xml:space="preserve">Store registration under SGM name; payouts into SPLT — align Shopify legal entity to SPLT INC</t>
  </si>
  <si>
    <t xml:space="preserve">4/2/2025</t>
  </si>
  <si>
    <t xml:space="preserve">Incoming wire from Chukwuezugo Nwosu (Ally Bank)</t>
  </si>
  <si>
    <t xml:space="preserve">Related party -&gt; SPLT (REVENUE)</t>
  </si>
  <si>
    <t xml:space="preserve">FINAL per management: pass-through mold procurement. Total factory mold fee $9,800 in 3 equal installments of $3,266.67; customer (Chukwuezugo Nwosu) OWNS the mold; deliverables = mold + one sample; service COMPLETE, no further payments due. Only installment 1 visible in SPLT account (4/2/25, passed through to Dongguan Kangdao) — CONFIRM route of installments 2-3. ACCOUNTING: pass-through/agent treatment (not gross revenue) or revenue with offsetting cost — net-zero either way; confirm with CPA how the filed return treated it. Invoice + completion acknowledgment SIGNED July 2026.</t>
  </si>
  <si>
    <t xml:space="preserve">9/17, 10/16, 12/9/2025</t>
  </si>
  <si>
    <t xml:space="preserve">SPLT paid three $1,235.00 Amex installments on Social Gear's Amex Platinum from the SPLT account</t>
  </si>
  <si>
    <t xml:space="preserve">SPLT -&gt; SGM (paid SGM obligation)</t>
  </si>
  <si>
    <t xml:space="preserve">Amex confirmed as Social Gear obligation (mgmt 7/2/26). These payments are intercompany value transfer — include in 2025 settlement memo</t>
  </si>
  <si>
    <t xml:space="preserve">TOTAL SPLT -&gt; SGM value transfer, FY2025 (transfers + Amex payments + IRS)</t>
  </si>
  <si>
    <t xml:space="preserve">FINDING (updated): total 2025 SPLT-&gt;SGM value transfer = $5,550 ($1,600 direct transfers + $3,705 Amex payments + $245 IRS) — roughly $555/mo over the Mar-Dec window. Still nowhere near the drafted $3,500/mo + 10%, which would imply ~$48K and contradict both the bank feed and the filed returns. But $5,550 is a materially better anchor for the 2025 Intercompany Settlement Memo than $1,600: it supports the narrative that SPLT was compensating its management entity informally all along.</t>
  </si>
  <si>
    <t xml:space="preserve">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</si>
  <si>
    <t xml:space="preserve">CYBERBRANDS LLC — THIRD RELATED ENTITY (common owner) — disclosure block</t>
  </si>
  <si>
    <t xml:space="preserve">Apr-Dec 2025</t>
  </si>
  <si>
    <t xml:space="preserve">Kickstarter campaign proceeds routed through Cyberbrands ("Cyber Brands Kickstarte" deposits into SPLT)</t>
  </si>
  <si>
    <t xml:space="preserve">Cyberbrands -&gt; SPLT</t>
  </si>
  <si>
    <t xml:space="preserve">~54,386</t>
  </si>
  <si>
    <t xml:space="preserve">11 deposits observed Apr-Dec 2025 (largest $49,562.44 on 4/25/25); reconciles to the $54,682.90 Kickstarter deferred-revenue figure. EXECUTED July 2026: one-page Kickstarter Proceeds Assignment memo (campaign under Cyberbrands, obligation and funds belong to SPLT)</t>
  </si>
  <si>
    <t xml:space="preserve">Monthly</t>
  </si>
  <si>
    <t xml:space="preserve">Warehouse rent $2,500/mo — CORRECTED: SPLT INC rents DIRECTLY from the landlord(s) (Kamyar Chamasmani; earlier payments to Della Moda). Cyberbrands is NOT in the rent chain.</t>
  </si>
  <si>
    <t xml:space="preserve">SPLT -&gt; Landlord (direct)</t>
  </si>
  <si>
    <t xml:space="preserve">ACTION: written month-to-month Warehouse Rental Agreement between SPLT INC and landlord memorializing the existing tenancy — SIGNED July 2026</t>
  </si>
  <si>
    <t xml:space="preserve">Periodic</t>
  </si>
  <si>
    <t xml:space="preserve">Santander vehicle lease payments (lease held by Cyberbrands; SPLT primary user)</t>
  </si>
  <si>
    <t xml:space="preserve">SPLT pays Cyberbrands' lease</t>
  </si>
  <si>
    <t xml:space="preserve">~2,770 (2025 observed)</t>
  </si>
  <si>
    <t xml:space="preserve">ACTION: Vehicle Use &amp; Reimbursement Agreement — see Debt_Schedule</t>
  </si>
  <si>
    <t xml:space="preserve">C-CORP NOTE (corrected): SPLT INC is a C corporation. Management fees paid to the founder's single-member LLC are deductible under IRC §162 if reasonable in amount and paid for actual, documented services — there is no S-corp "reasonable W-2 wage" issue. The requirements are: a written agreement, a fee that matches services and cash reality, and invoices. Same conclusion as before: paper it forward-only at a supportable rate; confirm final treatment with the CPA.</t>
  </si>
  <si>
    <t xml:space="preserve">On-Air Claims Reconciliation — Shark Tank Due Diligence Prep</t>
  </si>
  <si>
    <t xml:space="preserve">THE #1 KILLER OF SHARK TANK DEALS IN DILIGENCE IS A GAP BETWEEN ON-AIR CLAIMS AND THE BOOKS. The investor's team has the footage. Log every factual claim made in the tank (yellow cells), then reconcile each against the verified figure in this workbook, with source. Where a gap exists, write the explanation HERE, proactively — do not let the analysts find it first.</t>
  </si>
  <si>
    <t xml:space="preserve">Claim made on air (verbatim as possible)</t>
  </si>
  <si>
    <t xml:space="preserve">Category</t>
  </si>
  <si>
    <t xml:space="preserve">Figure stated</t>
  </si>
  <si>
    <t xml:space="preserve">Verified actual (this workbook)</t>
  </si>
  <si>
    <t xml:space="preserve">Source / tab</t>
  </si>
  <si>
    <t xml:space="preserve">Gap? Explanation</t>
  </si>
  <si>
    <t xml:space="preserve">"2024 revenues were $895K" (stated on air)</t>
  </si>
  <si>
    <t xml:space="preserve">Revenue</t>
  </si>
  <si>
    <t xml:space="preserve">$895,000 (2024 revenue)</t>
  </si>
  <si>
    <t xml:space="preserve">MISSTATED METRIC — CORRECTED WITH LINE-BY-LINE PROOF. $895,754.12 = total 2024 bank deposits (all 906 deposit lines classified; ties to statements to the penny — see SGM_2024_Deposit_Classification_Schedule.xlsx). Composition: $604,916.22 sales-type receipts (net of platform fees) + $290,837.90 non-revenue inflows (founder/family $214,479.24, Cyberbrands $40,147.40, Parafin $5,300, refunds $9,539.94, unidentified $21,370.42, interest $0.90). Filed 2024 gross receipts: $418,990.</t>
  </si>
  <si>
    <t xml:space="preserve">CF_Monthly_2024_SocialGear (deposits sum); PL_Annual_TaxBasis (filed revenue)</t>
  </si>
  <si>
    <t xml:space="preserve">Corrected via Clarification Memo v2 + attached classification schedule. OPEN ITEM BEFORE SENDING: CPA must document the bridge from $604,916.22 account-level sales receipts to the $418,990 filed figure ($185,926.22 difference — likely affiliate/Cyberbrands revenue reported on its own return, Teslarati service income, Shaed pass-throughs, personally-registered channel accounts). Also classify the $21,370.42 of unidentified deposits (Frost Bank $3,651.20; mobile/branch check deposits).</t>
  </si>
  <si>
    <t xml:space="preserve">[deal terms agreed on air: $ ___ for ___% (+ any royalty/advisory terms)]</t>
  </si>
  <si>
    <t xml:space="preserve">Deal terms</t>
  </si>
  <si>
    <t xml:space="preserve">Term sheet when issued</t>
  </si>
  <si>
    <t xml:space="preserve">[margin / unit economics stated]</t>
  </si>
  <si>
    <t xml:space="preserve">Margins</t>
  </si>
  <si>
    <t xml:space="preserve">2025 gross margin ~71.4% (Materials &amp; Supplies COGS proxy — true contribution lower)</t>
  </si>
  <si>
    <t xml:space="preserve">Gross_Margin</t>
  </si>
  <si>
    <t xml:space="preserve">[retail / channel claims: Best Buy, Walmart, Macy's, Amazon...]</t>
  </si>
  <si>
    <t xml:space="preserve">Distribution</t>
  </si>
  <si>
    <t xml:space="preserve">Best Buy &amp; Walmart.com live Dec 2025 via Mirakl (&lt;$1K each since launch); Macy's/Walmart legacy channels via Social Gear; Amazon US primary</t>
  </si>
  <si>
    <t xml:space="preserve">Revenue_by_Channel</t>
  </si>
  <si>
    <t xml:space="preserve">[patent claims]</t>
  </si>
  <si>
    <t xml:space="preserve">IP</t>
  </si>
  <si>
    <t xml:space="preserve">US utility patent No. 12,577,032 B2 granted; carried at $100K conservative; prior litigation Splitflask v. Dual Drinks — disclose proactively</t>
  </si>
  <si>
    <t xml:space="preserve">Balance_Sheet; Key_Findings</t>
  </si>
  <si>
    <t xml:space="preserve">[inventory / cash / profitability statements]</t>
  </si>
  <si>
    <t xml:space="preserve">Financial position</t>
  </si>
  <si>
    <t xml:space="preserve">Cash $3,571.86 (5/31/26); inventory $95,400 (mgmt est.); 2025 SPLT net income $9,850.39</t>
  </si>
  <si>
    <t xml:space="preserve">Balance_Sheet; PL_Annual_TaxBasis</t>
  </si>
  <si>
    <t xml:space="preserve">Also expect in Shark diligence: entity structure map (SPLT / Social Gear / Cyberbrands — now papered), cap table, the Kickstarter fulfillment obligation, litigation history, supplier concentration (single factory: Dongguan Kangdao), and the returned card autopays visible in bank statements. Every one of these already has a pre-answered home in this workbook.</t>
  </si>
  <si>
    <t xml:space="preserve">Profit &amp; Loss — As-Filed Tax Basis (Authoritative Totals)</t>
  </si>
  <si>
    <t xml:space="preserve">Source: tax P&amp;L statements provided. These are the real, filed totals; monthly tabs allocate these totals using a methodology described there.</t>
  </si>
  <si>
    <t xml:space="preserve">Social Gear Media LLC
2024</t>
  </si>
  <si>
    <t xml:space="preserve">SPLT INC
2025</t>
  </si>
  <si>
    <t xml:space="preserve">Social Gear Media LLC
2025</t>
  </si>
  <si>
    <t xml:space="preserve">2025 Combined
(SPLT+SocialGear)</t>
  </si>
  <si>
    <t xml:space="preserve">Total Revenue</t>
  </si>
  <si>
    <t xml:space="preserve">Advertising</t>
  </si>
  <si>
    <t xml:space="preserve">Car and truck</t>
  </si>
  <si>
    <t xml:space="preserve">Commissions</t>
  </si>
  <si>
    <t xml:space="preserve">Contract labor</t>
  </si>
  <si>
    <t xml:space="preserve">Insurance</t>
  </si>
  <si>
    <t xml:space="preserve">Interest paid</t>
  </si>
  <si>
    <t xml:space="preserve">Legal and professional services</t>
  </si>
  <si>
    <t xml:space="preserve">Materials &amp; Supplies</t>
  </si>
  <si>
    <t xml:space="preserve">Meals</t>
  </si>
  <si>
    <t xml:space="preserve">Office expenses</t>
  </si>
  <si>
    <t xml:space="preserve">Other business expenses</t>
  </si>
  <si>
    <t xml:space="preserve">Rent and lease</t>
  </si>
  <si>
    <t xml:space="preserve">Travel expenses</t>
  </si>
  <si>
    <t xml:space="preserve">Utilities</t>
  </si>
  <si>
    <t xml:space="preserve">Uncategorized other expenses</t>
  </si>
  <si>
    <t xml:space="preserve">Total Expenses</t>
  </si>
  <si>
    <t xml:space="preserve">Net Income</t>
  </si>
  <si>
    <t xml:space="preserve">Profit &amp; Loss — Monthly (Reconstructed) — 2024</t>
  </si>
  <si>
    <t xml:space="preserve">Entity: Social Gear Media LLC (SPLT INC did not yet exist)  |  METHODOLOGY: monthly figures = as-filed annual tax total x (that month's Amazon channel gross sales / annual Amazon gross sales). This is a reconstruction proxy, not system-generated monthly books.</t>
  </si>
  <si>
    <t xml:space="preserve">Line Item</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</si>
  <si>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</si>
  <si>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</si>
  <si>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</si>
  <si>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</si>
  <si>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</si>
  <si>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</si>
  <si>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</si>
  <si>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</si>
  <si>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</si>
  <si>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</si>
  <si>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</si>
  <si>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</si>
  <si>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(tax-filed)</t>
  </si>
  <si>
    <t xml:space="preserve">Uncategorized other</t>
  </si>
  <si>
    <t xml:space="preserve">Profit &amp; Loss — Monthly (Reconstructed) — 2025 — SPLT INC</t>
  </si>
  <si>
    <t xml:space="preserve">Entity: SPLT INC. First confirmed SPLT bank statement: Feb 2025.  |  METHODOLOGY: monthly figures = as-filed annual tax total x (that month's Amazon channel gross sales / annual Amazon gross sales). This is a reconstruction proxy, not system-generated monthly books.</t>
  </si>
  <si>
    <t xml:space="preserve">Profit &amp; Loss — Monthly (Reconstructed) — 2025 — Social Gear Media LLC</t>
  </si>
  <si>
    <t xml:space="preserve">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</si>
  <si>
    <t xml:space="preserve">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</si>
  <si>
    <t xml:space="preserve">RESTATEMENT NOTE (7/3/26): the as-filed SGM 2025 Form 1120-S reports gross receipts $130,976, COGS $113,315, gross profit $17,661, and an ORDINARY LOSS of -$32,900 — not the -$6,899 shown in this draft-based tab. The 1120-S figures govern; this tab is retained for monthly cash pattern only. 2024 1120-S also verified: $418,990 gross receipts / -$33,351 ordinary loss.</t>
  </si>
  <si>
    <t xml:space="preserve">Cash Flow — Monthly — 2023 (Bank-Confirmed) — Social Gear Media LLC</t>
  </si>
  <si>
    <t xml:space="preserve">Entity: Social Gear Media LLC, Wells Fargo acct ...8625. Splitflask sales began October 2023. Only Q4 2023 statements provided as that is when business commenced.</t>
  </si>
  <si>
    <t xml:space="preserve">Month</t>
  </si>
  <si>
    <t xml:space="preserve">Beginning Cash</t>
  </si>
  <si>
    <t xml:space="preserve">Deposits/Credits</t>
  </si>
  <si>
    <t xml:space="preserve">Withdrawals/Debits</t>
  </si>
  <si>
    <t xml:space="preserve">Net Change</t>
  </si>
  <si>
    <t xml:space="preserve">Ending Cash</t>
  </si>
  <si>
    <t xml:space="preserve">Source</t>
  </si>
  <si>
    <t xml:space="preserve">Oct 2023</t>
  </si>
  <si>
    <t xml:space="preserve">WF stmt 10/31/23 (confirmed)</t>
  </si>
  <si>
    <t xml:space="preserve">Nov 2023</t>
  </si>
  <si>
    <t xml:space="preserve">WF stmt 11/30/23 (confirmed)</t>
  </si>
  <si>
    <t xml:space="preserve">Dec 2023</t>
  </si>
  <si>
    <t xml:space="preserve">WF stmt 12/31/23 (confirmed)</t>
  </si>
  <si>
    <t xml:space="preserve">NOTE: Oct 2023 beginning balance (24.04) reflects the account state before Splitflask product sales commenced. The account operated at minimal balance prior to first Shopify/Affirm deposits on 10/19/23.</t>
  </si>
  <si>
    <t xml:space="preserve">Cash Flow — Monthly — 2024 (Bank-Confirmed)</t>
  </si>
  <si>
    <t xml:space="preserve">Entity: Social Gear Media LLC, Wells Fargo acct ...8625. Deposits/withdrawals are TOTAL bank activity (includes intercompany transfers, loans, personal spend) — NOT equivalent to the P&amp;L tab, which uses tax-basis totals.</t>
  </si>
  <si>
    <t xml:space="preserve">WF stmt 1/31/24</t>
  </si>
  <si>
    <t xml:space="preserve">WF stmt 2/29/24 (confirmed - gap closed)</t>
  </si>
  <si>
    <t xml:space="preserve">WF stmt 3/31/24</t>
  </si>
  <si>
    <t xml:space="preserve">WF stmt 4/30/24</t>
  </si>
  <si>
    <t xml:space="preserve">WF stmt 5/31/24</t>
  </si>
  <si>
    <t xml:space="preserve">WF stmt 6/30/24</t>
  </si>
  <si>
    <t xml:space="preserve">WF stmt 7/31/24</t>
  </si>
  <si>
    <t xml:space="preserve">WF stmt 8/31/24</t>
  </si>
  <si>
    <t xml:space="preserve">WF stmt 9/30/24</t>
  </si>
  <si>
    <t xml:space="preserve">WF stmt 10/31/24</t>
  </si>
  <si>
    <t xml:space="preserve">WF stmt 11/30/24</t>
  </si>
  <si>
    <t xml:space="preserve">WF stmt 12/31/24 (confirmed - gap closed)</t>
  </si>
  <si>
    <t xml:space="preserve">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</si>
  <si>
    <t xml:space="preserve">Cash Flow — Monthly — 2025 (Bank-Confirmed) — SPLT INC</t>
  </si>
  <si>
    <t xml:space="preserve">Entity: SPLT INC, Wells Fargo acct ...0423. Deposits/withdrawals are TOTAL bank activity (includes founder loan advances/repayments, intercompany transfers) — NOT equivalent to the P&amp;L tab.</t>
  </si>
  <si>
    <t xml:space="preserve">n/a</t>
  </si>
  <si>
    <t xml:space="preserve">WF stmt not on file; shown as Feb-begin</t>
  </si>
  <si>
    <t xml:space="preserve">WF stmt 2/28/25</t>
  </si>
  <si>
    <t xml:space="preserve">WF stmt 3/31/25</t>
  </si>
  <si>
    <t xml:space="preserve">WF stmt 4/30/25</t>
  </si>
  <si>
    <t xml:space="preserve">WF stmt 5/31/25</t>
  </si>
  <si>
    <t xml:space="preserve">WF stmt 6/30/25</t>
  </si>
  <si>
    <t xml:space="preserve">WF stmt 7/31/25 (confirmed - gap closed)</t>
  </si>
  <si>
    <t xml:space="preserve">WF stmt 8/31/25</t>
  </si>
  <si>
    <t xml:space="preserve">WF stmt 9/30/25</t>
  </si>
  <si>
    <t xml:space="preserve">WF stmt 10/31/25</t>
  </si>
  <si>
    <t xml:space="preserve">WF stmt 11/30/25</t>
  </si>
  <si>
    <t xml:space="preserve">WF stmt 12/31/25</t>
  </si>
  <si>
    <t xml:space="preserve">Cash Flow — Monthly — 2026 YTD — SPLT INC</t>
  </si>
  <si>
    <t xml:space="preserve">Entity: SPLT INC, same account. Matches investor package figures.</t>
  </si>
  <si>
    <t xml:space="preserve">WF stmt 1/31/26</t>
  </si>
  <si>
    <t xml:space="preserve">WF stmt 2/28/26</t>
  </si>
  <si>
    <t xml:space="preserve">WF stmt 3/31/26</t>
  </si>
  <si>
    <t xml:space="preserve">WF stmt 4/30/26</t>
  </si>
  <si>
    <t xml:space="preserve">WF stmt 5/31/26</t>
  </si>
  <si>
    <t xml:space="preserve">Balance Sheet — Year-End Snapshots (Corrected)</t>
  </si>
  <si>
    <t xml:space="preserve">Cash = bank-confirmed. Inventory/Equipment/IP = management estimates from investor package (not independently appraised - see prior diligence note on patent valuation inconsistency). Founder loan CORRECTED to match signed loan agreement.</t>
  </si>
  <si>
    <t xml:space="preserve">12/31/2024
(Social Gear)</t>
  </si>
  <si>
    <t xml:space="preserve">12/31/2025
SPLT INC</t>
  </si>
  <si>
    <t xml:space="preserve">5/31/2026
SPLT INC (interim)</t>
  </si>
  <si>
    <t xml:space="preserve">Cash</t>
  </si>
  <si>
    <t xml:space="preserve">Inventory</t>
  </si>
  <si>
    <t xml:space="preserve">n/a - not tracked for Social Gear</t>
  </si>
  <si>
    <t xml:space="preserve">Equipment</t>
  </si>
  <si>
    <t xml:space="preserve">Furniture &amp; Warehouse Assets</t>
  </si>
  <si>
    <t xml:space="preserve">Patent Portfolio (mgmt estimate - SEE PRIOR FLAG re: $100K vs $2M inconsistency)</t>
  </si>
  <si>
    <t xml:space="preserve">TOTAL ASSETS (excl. unverified intangibles)</t>
  </si>
  <si>
    <t xml:space="preserve">Credit Card Balance (Chase — SPLT de facto business card)</t>
  </si>
  <si>
    <t xml:space="preserve">unknown - statement now on file, not yet itemized here</t>
  </si>
  <si>
    <t xml:space="preserve">Founder Loan Payable — Arize Nwosu to SPLT INC (per signed loan agreement)</t>
  </si>
  <si>
    <t xml:space="preserve">n/a — pre-SPLT period</t>
  </si>
  <si>
    <t xml:space="preserve">Deferred Revenue (Kickstarter, 13% fulfilled)</t>
  </si>
  <si>
    <t xml:space="preserve">TOTAL LIABILITIES (corrected)</t>
  </si>
  <si>
    <t xml:space="preserve">NET EQUITY (Assets - Liabilities)</t>
  </si>
  <si>
    <t xml:space="preserve">NOTES: Card liability = Chase only ($22,055.63, SPLT business card). The Chukwuezugo family loan ($4,000) is a Social Gear Media LLC obligation under a SIGNED promissory note (executed July 2026) — disclosed on Debt_Schedule and Intercompany tabs only; never a SPLT liability. Amex is SGM's obligation (excluded). 12/31/25 card estimate $22,060 retained pending year-end statement.</t>
  </si>
  <si>
    <t xml:space="preserve">Trial Balance — Reconstructed (Not System-Generated)</t>
  </si>
  <si>
    <t xml:space="preserve">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</si>
  <si>
    <t xml:space="preserve">Account</t>
  </si>
  <si>
    <t xml:space="preserve">12/31/2025 SPLT INC</t>
  </si>
  <si>
    <t xml:space="preserve">5/31/2026 SPLT INC (YTD)</t>
  </si>
  <si>
    <t xml:space="preserve">Patent Portfolio (mgmt est.)</t>
  </si>
  <si>
    <t xml:space="preserve">Credit Card Payable (Chase only — SPLT business card; Amex is a Social Gear obligation, excluded)</t>
  </si>
  <si>
    <t xml:space="preserve">Deferred Revenue - Kickstarter</t>
  </si>
  <si>
    <t xml:space="preserve">Revenue YTD (tax basis)</t>
  </si>
  <si>
    <t xml:space="preserve">Expenses YTD (tax basis)</t>
  </si>
  <si>
    <t xml:space="preserve">(Family loan memo removed — SGM obligation under signed note; see Debt_Schedule)</t>
  </si>
  <si>
    <t xml:space="preserve">(4,000 — SGM books)</t>
  </si>
  <si>
    <t xml:space="preserve">Owner's Equity (plug — reconstructed TB)</t>
  </si>
  <si>
    <t xml:space="preserve">TB CHECK (should be 0)</t>
  </si>
  <si>
    <t xml:space="preserve">Equity is a balancing plug, standard for a reconstructed TB with no ledger system. 5/31/26 column is balance-sheet-only (no YTD 2026 tax P&amp;L exists yet); 2026 YTD activity is captured on the bank-confirmed CF_Monthly_2026YTD_SPLT tab.</t>
  </si>
  <si>
    <t xml:space="preserve">A/R and A/P Aging — 12/31/2023, 12/31/2024, 12/31/2025, YTD 2026 (5/31/26)</t>
  </si>
  <si>
    <t xml:space="preserve">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</si>
  <si>
    <t xml:space="preserve">Entity</t>
  </si>
  <si>
    <t xml:space="preserve">12/31/2023</t>
  </si>
  <si>
    <t xml:space="preserve">12/31/2024</t>
  </si>
  <si>
    <t xml:space="preserve">12/31/2025</t>
  </si>
  <si>
    <t xml:space="preserve">YTD 2026 (5/31/26)</t>
  </si>
  <si>
    <t xml:space="preserve">ACCOUNTS RECEIVABLE</t>
  </si>
  <si>
    <t xml:space="preserve">Trade A/R (invoiced customers)</t>
  </si>
  <si>
    <t xml:space="preserve">SPLT / SGM</t>
  </si>
  <si>
    <t xml:space="preserve">Marketplace payouts in transit (est. &lt;14 days sales)</t>
  </si>
  <si>
    <t xml:space="preserve">not tracked</t>
  </si>
  <si>
    <t xml:space="preserve">ACCOUNTS PAYABLE &amp; AP-LIKE OBLIGATIONS</t>
  </si>
  <si>
    <t xml:space="preserve">Trade A/P (vendor bills on terms)</t>
  </si>
  <si>
    <t xml:space="preserve">Credit card payable (aggregate)</t>
  </si>
  <si>
    <t xml:space="preserve">SPLT INC</t>
  </si>
  <si>
    <t xml:space="preserve">unknown</t>
  </si>
  <si>
    <t xml:space="preserve">Kickstarter deferred revenue (fulfillment obligation)</t>
  </si>
  <si>
    <t xml:space="preserve">—</t>
  </si>
  <si>
    <t xml:space="preserve">Founder loan payable — Arize Nwosu (per signed Revolving Loan Agreement)</t>
  </si>
  <si>
    <t xml:space="preserve">Family loan payable — Chukwuezugo Nwosu (SGM entity only; disclosure)</t>
  </si>
  <si>
    <t xml:space="preserve">Social Gear Media LLC</t>
  </si>
  <si>
    <t xml:space="preserve">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</si>
  <si>
    <t xml:space="preserve">Gross Margin Analysis</t>
  </si>
  <si>
    <t xml:space="preserve">COGS proxy = 'Materials &amp; Supplies' tax category, the closest available line to true COGS. Other costs (fulfillment, ad spend) are NOT included in this COGS proxy - true contribution margin is lower than shown.</t>
  </si>
  <si>
    <t xml:space="preserve">Metric</t>
  </si>
  <si>
    <t xml:space="preserve">2024 Social Gear</t>
  </si>
  <si>
    <t xml:space="preserve">2025 SPLT INC</t>
  </si>
  <si>
    <t xml:space="preserve">2025 Social Gear</t>
  </si>
  <si>
    <t xml:space="preserve">COGS proxy (Materials &amp; Supplies)</t>
  </si>
  <si>
    <t xml:space="preserve">Gross Profit</t>
  </si>
  <si>
    <t xml:space="preserve">Gross Margin %</t>
  </si>
  <si>
    <t xml:space="preserve">24–36 Month Forecast — SPLT INC</t>
  </si>
  <si>
    <t xml:space="preserve">Anchored to ACTUAL 2026 YTD run rate (Jan-May), not assumptions pulled from thin air. Adjust the blue assumption cells to test scenarios.</t>
  </si>
  <si>
    <t xml:space="preserve">ASSUMPTIONS (editable)</t>
  </si>
  <si>
    <t xml:space="preserve">Starting monthly cash inflow (avg 2026 YTD deposits)</t>
  </si>
  <si>
    <t xml:space="preserve">Starting monthly cash outflow (avg 2026 YTD withdrawals)</t>
  </si>
  <si>
    <t xml:space="preserve">Monthly inflow growth %</t>
  </si>
  <si>
    <t xml:space="preserve">Monthly outflow growth %</t>
  </si>
  <si>
    <t xml:space="preserve">NOTE: assumption cells B5:B8 are editable (blue). B5/B6 are 2026 YTD Jan-May actual averages.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</si>
  <si>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</si>
  <si>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</si>
  <si>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</si>
  <si>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</si>
  <si>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</si>
  <si>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</si>
  <si>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</si>
  <si>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</si>
  <si>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</si>
  <si>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</si>
  <si>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</si>
  <si>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</si>
  <si>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</si>
  <si>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</si>
  <si>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</si>
  <si>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</si>
  <si>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</si>
  <si>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</si>
  <si>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</si>
  <si>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</si>
  <si>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</si>
  <si>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</si>
  <si>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</si>
  <si>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</si>
  <si>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</si>
  <si>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</si>
  <si>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</si>
  <si>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</si>
  <si>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</si>
  <si>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</si>
  <si>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</si>
  <si>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</si>
  <si>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</si>
  <si>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</si>
  <si>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</si>
  <si>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</si>
  <si>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Cash In (forecast)</t>
  </si>
  <si>
    <t xml:space="preserve">Cash Out (forecast)</t>
  </si>
  <si>
    <t xml:space="preserve">Net Cash Flow</t>
  </si>
  <si>
    <t xml:space="preserve">Cumulative Cash (start: $3,571.86)</t>
  </si>
  <si>
    <t xml:space="preserve">Cash &lt; $0 flag</t>
  </si>
  <si>
    <t xml:space="preserve">BURN &amp; RUNWAY SUMMARY (lender checklist items)</t>
  </si>
  <si>
    <t xml:space="preserve">Monthly cash burn rate (2026 YTD actual, bank-confirmed: avg outflow - avg inflow)</t>
  </si>
  <si>
    <t xml:space="preserve">Cash on hand, 6/30/2026 (bank-confirmed — account OVERDRAWN)</t>
  </si>
  <si>
    <t xml:space="preserve">Runway at current burn (months)</t>
  </si>
  <si>
    <t xml:space="preserve">Base-case forecast: months until cash goes below $0</t>
  </si>
  <si>
    <t xml:space="preserve">URGENT (updated 7/3/26 with June statement): June deposits fell to $6,214.22 vs $16,451 prior average; account ended June at -$52.89 (overdrawn, $35 OD fee). Average burn Jan-Jun = $1,650.55/mo and cash is below zero: runway is EXHAUSTED pre-raise. The $1,500 Chase autopay on 7/5/26 will return unless the account is funded immediately. The raise is not merely the runway — the company is at zero without it. No related-party fees are payable pre-close (see CSA v2).</t>
  </si>
  <si>
    <t xml:space="preserve">COMMITTED MONTHLY FIXED OBLIGATIONS (already inside the burn — broken out for lender visibility)</t>
  </si>
  <si>
    <t xml:space="preserve">Warehouse rent (via Cyberbrands master lease, paid to landlord)</t>
  </si>
  <si>
    <t xml:space="preserve">Zelle, observed every month</t>
  </si>
  <si>
    <t xml:space="preserve">Chase card fixed autopay</t>
  </si>
  <si>
    <t xml:space="preserve">Per 6/8/26 statement — autopay ON</t>
  </si>
  <si>
    <t xml:space="preserve">Amex — REMOVED from SPLT committed obligations (Social Gear funds it in 2026)</t>
  </si>
  <si>
    <t xml:space="preserve">Excluded per entity classification 7/2/26. If SPLT ever pays it again, log as intercompany</t>
  </si>
  <si>
    <t xml:space="preserve">Vehicle lease (Santander, via Cyberbrands)</t>
  </si>
  <si>
    <t xml:space="preserve">Observed $1,402.57 + $1,367.57 in 2025; shown as monthly-equivalent estimate — confirm cadence from lease</t>
  </si>
  <si>
    <t xml:space="preserve">Total committed fixed / month</t>
  </si>
  <si>
    <t xml:space="preserve">Committed fixed as % of avg monthly cash inflow</t>
  </si>
  <si>
    <t xml:space="preserve">THE RAISE IS THE RUNWAY</t>
  </si>
  <si>
    <t xml:space="preserve">Stated plainly for any reader of this model: SPLT INC's operating cash does not self-fund the next 12 months. Cash on hand covers ~2.8 months at current burn, and ~36% of monthly cash inflow is already committed to rent, card payments, and the vehicle before a dollar of inventory or advertising. The financing being raised IS the runway: it retires the 27.74% card debt (immediately improving monthly cash by ~$2,700 of payments), funds inventory for the Q4 season, and bridges to the 2026 channel expansion (Best Buy / Walmart / TikTok Shop / international) reaching scale. The forecast above should be read as: base case = raise closes; downside without the raise = cash exhausted inside one quarter.</t>
  </si>
  <si>
    <t xml:space="preserve">SHARK TANK AIRING — TIMING RISK &amp; UPSIDE</t>
  </si>
  <si>
    <t xml:space="preserve">The pending investment follows an on-air Shark Tank deal (episode not yet aired). Two forecast implications: (1) UPSIDE NOT MODELED — Shark Tank episodes historically drive a multi-week sales surge on airing; no airing bump is included in the base case above, making the base case conservative on inflows. (2) TIMING RISK — if the episode airs before the investment funds, SPLT must finance spike inventory and ad spend from a ~$3.6K cash position. Mitigations to arrange now: confirm expected airing window with production, pre-negotiate factory payment terms for a spike PO, and sequence deal funding ahead of airing wherever possible.</t>
  </si>
  <si>
    <t xml:space="preserve">Debt Agreements &amp; Schedules — SPLT INC (+ related-party disclosure)</t>
  </si>
  <si>
    <t xml:space="preserve">Creditor / Facility</t>
  </si>
  <si>
    <t xml:space="preserve">Type &amp; Documentation</t>
  </si>
  <si>
    <t xml:space="preserve">Original Amount</t>
  </si>
  <si>
    <t xml:space="preserve">Balance (latest)</t>
  </si>
  <si>
    <t xml:space="preserve">Interest Rate</t>
  </si>
  <si>
    <t xml:space="preserve">Payment Terms</t>
  </si>
  <si>
    <t xml:space="preserve">Security / Notes</t>
  </si>
  <si>
    <t xml:space="preserve">Arize Nwosu (Founder) — Revolving Loan &amp; Officer Advance Agreement</t>
  </si>
  <si>
    <t xml:space="preserve">Signed agreement effective 6/30/2026; Exhibit A ledger: advances $66,587, repayments $52,708</t>
  </si>
  <si>
    <t xml:space="preserve">Per signed agreement</t>
  </si>
  <si>
    <t xml:space="preserve">Revolving; repaid from available cash</t>
  </si>
  <si>
    <t xml:space="preserve">Documented. 12/31/25 balance was $25,287 before 2026 repayments</t>
  </si>
  <si>
    <t xml:space="preserve">Chase Sapphire Reserve (SPLT de facto business card) — see Credit_Cards tab</t>
  </si>
  <si>
    <t xml:space="preserve">Documented per stmt 6/8/26. Amex Platinum reclassified to Social Gear Media LLC (related-entity disclosure on Credit_Cards tab)</t>
  </si>
  <si>
    <t xml:space="preserve">SPLT INC / officer</t>
  </si>
  <si>
    <t xml:space="preserve">Chase 27.74% (v)</t>
  </si>
  <si>
    <t xml:space="preserve">Chase $1,500/mo fixed autopay (due 7/5)</t>
  </si>
  <si>
    <t xml:space="preserve">Unsecured. 98% utilized. Balance $22,055.63 per stmt; Past Due $0.00. Returned autopay attempts visible in bank statements are explained on the Credit_Cards tab (payout-cycle timing; account current).</t>
  </si>
  <si>
    <t xml:space="preserve">Santander — vehicle lease (lessee: Cyberbrands LLC)</t>
  </si>
  <si>
    <t xml:space="preserve">Vehicle lease held by Cyberbrands LLC (related entity, common owner). SPLT INC is primary user and has been paying lease invoices from its account ($1,402.57 on 9/16/25; $1,367.57 on 12/17/25)</t>
  </si>
  <si>
    <t xml:space="preserve">Cyberbrands LLC (SPLT = user/payer)</t>
  </si>
  <si>
    <t xml:space="preserve">n/a — lease, not debt</t>
  </si>
  <si>
    <t xml:space="preserve">Per lease (obtain from Cyberbrands file)</t>
  </si>
  <si>
    <t xml:space="preserve">~$1,385 per observed payment; cadence to confirm from lease</t>
  </si>
  <si>
    <t xml:space="preserve">Vehicle Use &amp; Reimbursement Agreement SIGNED July 2026. Lease doc in data room</t>
  </si>
  <si>
    <t xml:space="preserve">Chukwuezugo Nwosu — family loan</t>
  </si>
  <si>
    <t xml:space="preserve">Promissory note SIGNED July 2026 memorializing $29,000 loan, $25,000 repaid 12/26/24, $4,000 balance</t>
  </si>
  <si>
    <t xml:space="preserve">Social Gear Media LLC (NOT SPLT INC)</t>
  </si>
  <si>
    <t xml:space="preserve">None stated</t>
  </si>
  <si>
    <t xml:space="preserve">None stated; $25,000 repaid 12/26/24 by wire</t>
  </si>
  <si>
    <t xml:space="preserve">Unsecured. Related-party disclosure only — not a SPLT INC obligation</t>
  </si>
  <si>
    <t xml:space="preserve">TOTAL SPLT INC DEBT (founder loan + credit cards)</t>
  </si>
  <si>
    <t xml:space="preserve">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</si>
  <si>
    <t xml:space="preserve">Credit Card Debt — Rates &amp; Pay-Down Plan</t>
  </si>
  <si>
    <t xml:space="preserve">ENTITY CLASSIFICATION (management-confirmed 7/2/26): Chase = SPLT INC de facto business card. Amex Platinum = SOCIAL GEAR MEDIA LLC obligation (funded by Social Gear in 2026) — shown below as RELATED-ENTITY DISCLOSURE, excluded from SPLT totals. Rationale a reviewer will accept: Chase funded SPLT ad spend and is serviced by SPLT; Amex is serviced by the management entity. NOTE: SPLT's 2025 statements show SPLT paid three $1,235 Amex installments (9/17, 10/16, 12/9/25 = $3,705) — classified as intercompany value transfer to Social Gear, see Intercompany_RelatedParty tab.</t>
  </si>
  <si>
    <t xml:space="preserve">Card</t>
  </si>
  <si>
    <t xml:space="preserve">Balance ($)</t>
  </si>
  <si>
    <t xml:space="preserve">APR (enter from stmt)</t>
  </si>
  <si>
    <t xml:space="preserve">Planned Monthly Payment ($)</t>
  </si>
  <si>
    <t xml:space="preserve">Est. Months to Payoff</t>
  </si>
  <si>
    <t xml:space="preserve">Total Interest (est.)</t>
  </si>
  <si>
    <t xml:space="preserve">Notes</t>
  </si>
  <si>
    <t xml:space="preserve">Chase Sapphire Reserve ...3247 (Arize Nwosu)</t>
  </si>
  <si>
    <t xml:space="preserve">DOCUMENTED per stmt 6/8/26: line $22,500 (98.0% utilized); min due $764 by 7/5/26; fixed autopay $1,500/mo; purchase APR 27.74% variable; 2026 YTD interest $2,905.84 + fees $550.00. Returned autopay attempts appear in the 2025-26 bank statements — explanation on file: timing gaps between marketplace payout cycles and the fixed autopay date, not disputed charges; account is current and has never carried a Past Due Amount (stmt shows Past Due $0.00).</t>
  </si>
  <si>
    <t xml:space="preserve">RELATED-ENTITY DISCLOSURE — Amex Platinum ...5-12004 (Social Gear Media LLC obligation)</t>
  </si>
  <si>
    <t xml:space="preserve">NOT a SPLT liability. Per stmt 6/19/26: $25,327.77 on a 9.99% Pay Over Time payment plan, $1,235/mo, funded by Social Gear in 2026. Disclosed here solely because SPLT paid $3,705 of installments in 2025 (see Intercompany_RelatedParty tab).</t>
  </si>
  <si>
    <t xml:space="preserve">Other (add per statements)</t>
  </si>
  <si>
    <t xml:space="preserve">TOTAL — SPLT INC card debt (Chase only)</t>
  </si>
  <si>
    <t xml:space="preserve">Check vs. Chase stmt ($22,055.63)</t>
  </si>
  <si>
    <t xml:space="preserve">PAY-DOWN PLAN (SPLT scope): Chase $1,500/mo fixed autopay at 27.74% retires in ~18 months; raise-proceeds priority = retire Chase in full (frees $1,500/mo and eliminates the highest-APR exposure). Amex is Social Gear's to service from its own cash flow — SPLT should not resume paying it; if it ever does, log each payment as intercompany. Cash management note: confirm the SPLT checking balance covers the $1,500 Chase autopay on 7/5/26.</t>
  </si>
  <si>
    <t xml:space="preserve">Bank Statement Index — coverage for the "6-12 months of bank statements" request</t>
  </si>
  <si>
    <t xml:space="preserve">Period Covered</t>
  </si>
  <si>
    <t xml:space="preserve">Status</t>
  </si>
  <si>
    <t xml:space="preserve">WF ...8625</t>
  </si>
  <si>
    <t xml:space="preserve">Sep-Dec 2023 (business commenced Oct 2023)</t>
  </si>
  <si>
    <t xml:space="preserve">On file, confirmed</t>
  </si>
  <si>
    <t xml:space="preserve">Jan-Dec 2024 (full year)</t>
  </si>
  <si>
    <t xml:space="preserve">2025 monthly</t>
  </si>
  <si>
    <t xml:space="preserve">Partially on file — confirm full-year set in data room</t>
  </si>
  <si>
    <t xml:space="preserve">WF ...0423</t>
  </si>
  <si>
    <t xml:space="preserve">Feb 2025 - Dec 2025 (account opened 1/28/25; no Jan stmt exists)</t>
  </si>
  <si>
    <t xml:space="preserve">On file, confirmed — every month read line-by-line in this review</t>
  </si>
  <si>
    <t xml:space="preserve">Jan 2026 - May 2026</t>
  </si>
  <si>
    <t xml:space="preserve">Jun 2026</t>
  </si>
  <si>
    <t xml:space="preserve">On file, confirmed (added 7/3/26): deposits $6,214.22, withdrawals $9,838.97, ending -$52.89</t>
  </si>
  <si>
    <t xml:space="preserve">Trailing-12-months (Jun 2025 - May 2026) for the operating entity SPLT INC: COMPLETE. Lender checklist item satisfied. Chase statement + additional WF PDFs also in data room folder.</t>
  </si>
  <si>
    <t xml:space="preserve">SPLT INC — Revenue by Channel / Year (All Sources)</t>
  </si>
  <si>
    <t xml:space="preserve">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</si>
  <si>
    <t xml:space="preserve">Channel</t>
  </si>
  <si>
    <t xml:space="preserve">2024 (Social Gear)</t>
  </si>
  <si>
    <t xml:space="preserve">2025 (SPLT INC)</t>
  </si>
  <si>
    <t xml:space="preserve">2025 (Social Gear)</t>
  </si>
  <si>
    <t xml:space="preserve">2026 YTD (Apr)</t>
  </si>
  <si>
    <t xml:space="preserve">Amazon US (gross sales)</t>
  </si>
  <si>
    <t xml:space="preserve">Hard data — monthly confirmed from Amazon Seller Central export</t>
  </si>
  <si>
    <t xml:space="preserve">Shopify / DTC</t>
  </si>
  <si>
    <t xml:space="preserve">2024/2025 = residual (total tax revenue minus Amazon); 2026 = Shopify monthly export confirmed</t>
  </si>
  <si>
    <t xml:space="preserve">Von Maur (EDI wholesale)</t>
  </si>
  <si>
    <t xml:space="preserve">Social Gear</t>
  </si>
  <si>
    <t xml:space="preserve">Single EDI payment 12/10/2024 — $7,200; appears once in bank, no other Von Maur payments found</t>
  </si>
  <si>
    <t xml:space="preserve">Best Buy (via Mirakl)</t>
  </si>
  <si>
    <t xml:space="preserve">Live since Dec 2025. Gross order amounts from transaction log. Very nascent channel — combined since launch &lt; $800</t>
  </si>
  <si>
    <t xml:space="preserve">Walmart.com (via Mirakl)</t>
  </si>
  <si>
    <t xml:space="preserve">Live since Dec 2025. Net amounts transferred to store from billing log. Nascent — parallel launch with Best Buy</t>
  </si>
  <si>
    <t xml:space="preserve">TikTok Shop</t>
  </si>
  <si>
    <t xml:space="preserve">Merchant statement covers Dec 2025 - Mar 2026: gross $599.52, net income $542.07. Platform labeled Sharper Image in merchant portal but this is TikTok Shop. Pre-2026 TikTok deposits visible in bank feed but not separately quantified here.</t>
  </si>
  <si>
    <t xml:space="preserve">Kuwait International (wire)</t>
  </si>
  <si>
    <t xml:space="preserve">Confirmed: NBK wire from Fadi Ibrahim Mohammad Altayan, 11/11/2025, $1,410.21 USD, ref MOB0046X0B. Matches international distributor channel from unit economics.</t>
  </si>
  <si>
    <t xml:space="preserve">Amazon Singapore</t>
  </si>
  <si>
    <t xml:space="preserve">2025 full year + 2026 YTD from dashboard. USD amounts.</t>
  </si>
  <si>
    <t xml:space="preserve">Amazon Australia (converted to USD)</t>
  </si>
  <si>
    <t xml:space="preserve">Converted from AUD. 2025: A$2,369.15 x 0.6451 (2025 annual avg AUD/USD per exchange-rates.org) = $1,528 USD. 2026 YTD: A$968.28 x 0.6300 (conservative Jan-Apr 2026 avg; AUD started 2026 weak at 0.6678 on Jan 1, recovered later in year) = $610 USD.</t>
  </si>
  <si>
    <t xml:space="preserve">Walmart.com / Macy's (SG channels)</t>
  </si>
  <si>
    <t xml:space="preserve">2025 Social Gear entity revenue per tax filing. These channels run through Social Gear, not SPLT INC.</t>
  </si>
  <si>
    <t xml:space="preserve">TOTAL — SPLT INC Channels Only</t>
  </si>
  <si>
    <t xml:space="preserve">All figures in USD. Amazon AUS converted at period-average AUD/USD rates (2025: 0.6451; 2026 Q1: 0.6300). TikTok Shop pre-2026 not separately quantified.</t>
  </si>
  <si>
    <t xml:space="preserve">NEW CHANNELS DISCOVERED IN THIS DILIGENCE REVIEW (not in prior investor package):</t>
  </si>
  <si>
    <t xml:space="preserve">  • Best Buy (Mirakl) — live Dec 2025, $799 gross since launch</t>
  </si>
  <si>
    <t xml:space="preserve">  • Walmart.com (Mirakl) — live Dec 2025, $969 net since launch</t>
  </si>
  <si>
    <t xml:space="preserve">  • TikTok Shop — Dec 2025 - Mar 2026, $599 gross (statement confirmed)</t>
  </si>
  <si>
    <t xml:space="preserve">  • Amazon Singapore — 2025 $855 USD, growing in 2026</t>
  </si>
  <si>
    <t xml:space="preserve">  • Amazon Australia — 2025 A$2,369 converted to $1,528 USD (rate: 0.6451); 2026 YTD A$968 = $610 USD (rate: 0.6300)</t>
  </si>
  <si>
    <t xml:space="preserve">  • Kuwait international wire — $1,410.21 confirmed via NBK bank wire 11/11/2025</t>
  </si>
  <si>
    <t xml:space="preserve">  • Von Maur EDI — $7,200 single wholesale payment in Dec 2024 (Social Gear entity)</t>
  </si>
  <si>
    <t xml:space="preserve">REVENUE BY CUSTOMER — individually identifiable customers (all other revenue is anonymous marketplace/DTC volume)</t>
  </si>
  <si>
    <t xml:space="preserve">Customer</t>
  </si>
  <si>
    <t xml:space="preserve">Year</t>
  </si>
  <si>
    <t xml:space="preserve">Evidence</t>
  </si>
  <si>
    <t xml:space="preserve">2024</t>
  </si>
  <si>
    <t xml:space="preserve">Single EDI payment 12/10/24 — Social Gear entity</t>
  </si>
  <si>
    <t xml:space="preserve">Everything Kitchen Pty Ltd (Australia)</t>
  </si>
  <si>
    <t xml:space="preserve">2025</t>
  </si>
  <si>
    <t xml:space="preserve">Intl wire 2/24/25, National Australia Bank — WF stmt</t>
  </si>
  <si>
    <t xml:space="preserve">Chukwuezugo Nwosu (RELATED PARTY — product/service purchase)</t>
  </si>
  <si>
    <t xml:space="preserve">Wire 4/2/25 via Ally Bank. Needs invoice on file; confirm included in tax revenue</t>
  </si>
  <si>
    <t xml:space="preserve">Waen Inc. (Japan)</t>
  </si>
  <si>
    <t xml:space="preserve">Intl wire 6/6/25, Chiba Bank — WF stmt</t>
  </si>
  <si>
    <t xml:space="preserve">Citiesocial Co. Ltd (Taiwan)</t>
  </si>
  <si>
    <t xml:space="preserve">Intl wire 11/6/25, Cathay United Bank — WF stmt</t>
  </si>
  <si>
    <t xml:space="preserve">Fadi Ibrahim Mohammad Altayan (Kuwait distributor)</t>
  </si>
  <si>
    <t xml:space="preserve">Intl wire 11/12/25, National Bank of Kuwait — WF stmt</t>
  </si>
  <si>
    <t xml:space="preserve">2025 (Dec)</t>
  </si>
  <si>
    <t xml:space="preserve">Intl wire 12/11/25, Cathay United Bank — WF stmt (2nd order — repeat customer)</t>
  </si>
  <si>
    <t xml:space="preserve">All other revenue = anonymous end-consumers via Amazon (US/CA/MX/SG/AU), Shopify DTC, TikTok Shop, Best Buy, Walmart.com, Macys.com — no customer-level identity exists on these channels; channel = customer for reporting purposes.</t>
  </si>
</sst>
</file>

<file path=xl/styles.xml><?xml version="1.0" encoding="utf-8"?>
<styleSheet xmlns="http://schemas.openxmlformats.org/spreadsheetml/2006/main">
  <numFmts count="3">
    <numFmt numFmtId="164" formatCode="General"/>
    <numFmt numFmtId="165" formatCode="\$#,##0;&quot;($&quot;#,##0\)"/>
    <numFmt numFmtId="166" formatCode="0.0%"/>
  </numFmts>
  <fonts count="2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5"/>
      <name val="Arial"/>
      <family val="0"/>
      <charset val="1"/>
    </font>
    <font>
      <b val="true"/>
      <sz val="11"/>
      <name val="Cambria"/>
      <family val="0"/>
      <charset val="1"/>
    </font>
    <font>
      <b val="true"/>
      <sz val="14"/>
      <name val="Cambria"/>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0"/>
      <color rgb="FF9C0006"/>
      <name val="Arial"/>
      <family val="0"/>
      <charset val="1"/>
    </font>
    <font>
      <i val="true"/>
      <sz val="11"/>
      <color rgb="FF9C0006"/>
      <name val="Arial"/>
      <family val="0"/>
      <charset val="1"/>
    </font>
    <font>
      <sz val="11"/>
      <color rgb="FF0000FF"/>
      <name val="Cambria"/>
      <family val="0"/>
      <charset val="1"/>
    </font>
    <font>
      <b val="true"/>
      <sz val="13"/>
      <color rgb="FFCC0000"/>
      <name val="Cambria"/>
      <family val="0"/>
      <charset val="1"/>
    </font>
    <font>
      <b val="true"/>
      <sz val="12"/>
      <name val="Cambria"/>
      <family val="0"/>
      <charset val="1"/>
    </font>
    <font>
      <sz val="11"/>
      <color rgb="FF000000"/>
      <name val="Cambria"/>
      <family val="0"/>
      <charset val="1"/>
    </font>
    <font>
      <b val="true"/>
      <sz val="9"/>
      <color rgb="FF9C0006"/>
      <name val="Arial"/>
      <family val="0"/>
      <charset val="1"/>
    </font>
    <font>
      <b val="true"/>
      <sz val="11"/>
      <color rgb="FF1F4E78"/>
      <name val="Arial"/>
      <family val="0"/>
      <charset val="1"/>
    </font>
  </fonts>
  <fills count="8">
    <fill>
      <patternFill patternType="none"/>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FFFF00"/>
        <bgColor rgb="FFFFFF00"/>
      </patternFill>
    </fill>
    <fill>
      <patternFill patternType="solid">
        <fgColor rgb="FF1F4E78"/>
        <bgColor rgb="FF003366"/>
      </patternFill>
    </fill>
    <fill>
      <patternFill patternType="solid">
        <fgColor rgb="FFBDD7E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7"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5" fontId="5" fillId="7"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6"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5" fontId="0" fillId="3" borderId="1" xfId="0" applyFont="true" applyBorder="tru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general" vertical="bottom" textRotation="0" wrapText="false" indent="0" shrinkToFit="false"/>
      <protection locked="true" hidden="false"/>
    </xf>
    <xf numFmtId="165" fontId="15" fillId="5" borderId="0" xfId="0" applyFont="true" applyBorder="false" applyAlignment="true" applyProtection="false">
      <alignment horizontal="general" vertical="bottom" textRotation="0" wrapText="false" indent="0" shrinkToFit="false"/>
      <protection locked="true" hidden="false"/>
    </xf>
    <xf numFmtId="166" fontId="15" fillId="5"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8" min="2" style="1" width="14"/>
  </cols>
  <sheetData>
    <row r="1" customFormat="false" ht="17.25" hidden="false" customHeight="true" outlineLevel="0" collapsed="false">
      <c r="A1" s="2" t="s">
        <v>0</v>
      </c>
    </row>
    <row r="4" customFormat="false" ht="15" hidden="false" customHeight="true" outlineLevel="0" collapsed="false">
      <c r="A4" s="3" t="s">
        <v>1</v>
      </c>
      <c r="B4" s="3"/>
      <c r="C4" s="3"/>
      <c r="D4" s="3"/>
      <c r="E4" s="3"/>
      <c r="F4" s="3"/>
      <c r="G4" s="3"/>
      <c r="H4" s="3"/>
    </row>
    <row r="5" customFormat="false" ht="45" hidden="false" customHeight="true" outlineLevel="0" collapsed="false">
      <c r="A5" s="4" t="s">
        <v>2</v>
      </c>
      <c r="B5" s="4"/>
      <c r="C5" s="4"/>
      <c r="D5" s="4"/>
      <c r="E5" s="4"/>
      <c r="F5" s="4"/>
      <c r="G5" s="4"/>
      <c r="H5" s="4"/>
    </row>
    <row r="6" customFormat="false" ht="15" hidden="false" customHeight="true" outlineLevel="0" collapsed="false">
      <c r="A6" s="4"/>
      <c r="B6" s="4"/>
      <c r="C6" s="4"/>
      <c r="D6" s="4"/>
      <c r="E6" s="4"/>
      <c r="F6" s="4"/>
      <c r="G6" s="4"/>
      <c r="H6" s="4"/>
    </row>
    <row r="8" customFormat="false" ht="15" hidden="false" customHeight="true" outlineLevel="0" collapsed="false">
      <c r="A8" s="5" t="s">
        <v>3</v>
      </c>
      <c r="B8" s="5"/>
      <c r="C8" s="5"/>
      <c r="D8" s="5"/>
      <c r="E8" s="5"/>
      <c r="F8" s="5"/>
      <c r="G8" s="5"/>
      <c r="H8" s="5"/>
    </row>
    <row r="9" customFormat="false" ht="45" hidden="false" customHeight="true" outlineLevel="0" collapsed="false">
      <c r="A9" s="4" t="s">
        <v>4</v>
      </c>
      <c r="B9" s="4"/>
      <c r="C9" s="4"/>
      <c r="D9" s="4"/>
      <c r="E9" s="4"/>
      <c r="F9" s="4"/>
      <c r="G9" s="4"/>
      <c r="H9" s="4"/>
    </row>
    <row r="10" customFormat="false" ht="15" hidden="false" customHeight="true" outlineLevel="0" collapsed="false">
      <c r="A10" s="4"/>
      <c r="B10" s="4"/>
      <c r="C10" s="4"/>
      <c r="D10" s="4"/>
      <c r="E10" s="4"/>
      <c r="F10" s="4"/>
      <c r="G10" s="4"/>
      <c r="H10" s="4"/>
    </row>
    <row r="12" customFormat="false" ht="15" hidden="false" customHeight="true" outlineLevel="0" collapsed="false">
      <c r="A12" s="5" t="s">
        <v>5</v>
      </c>
      <c r="B12" s="5"/>
      <c r="C12" s="5"/>
      <c r="D12" s="5"/>
      <c r="E12" s="5"/>
      <c r="F12" s="5"/>
      <c r="G12" s="5"/>
      <c r="H12" s="5"/>
    </row>
    <row r="13" customFormat="false" ht="45" hidden="false" customHeight="true" outlineLevel="0" collapsed="false">
      <c r="A13" s="4" t="s">
        <v>6</v>
      </c>
      <c r="B13" s="4"/>
      <c r="C13" s="4"/>
      <c r="D13" s="4"/>
      <c r="E13" s="4"/>
      <c r="F13" s="4"/>
      <c r="G13" s="4"/>
      <c r="H13" s="4"/>
    </row>
    <row r="14" customFormat="false" ht="15" hidden="false" customHeight="true" outlineLevel="0" collapsed="false">
      <c r="A14" s="4"/>
      <c r="B14" s="4"/>
      <c r="C14" s="4"/>
      <c r="D14" s="4"/>
      <c r="E14" s="4"/>
      <c r="F14" s="4"/>
      <c r="G14" s="4"/>
      <c r="H14" s="4"/>
    </row>
    <row r="16" customFormat="false" ht="15" hidden="false" customHeight="true" outlineLevel="0" collapsed="false">
      <c r="A16" s="5" t="s">
        <v>7</v>
      </c>
      <c r="B16" s="5"/>
      <c r="C16" s="5"/>
      <c r="D16" s="5"/>
      <c r="E16" s="5"/>
      <c r="F16" s="5"/>
      <c r="G16" s="5"/>
      <c r="H16" s="5"/>
    </row>
    <row r="17" customFormat="false" ht="45" hidden="false" customHeight="true" outlineLevel="0" collapsed="false">
      <c r="A17" s="4" t="s">
        <v>8</v>
      </c>
      <c r="B17" s="4"/>
      <c r="C17" s="4"/>
      <c r="D17" s="4"/>
      <c r="E17" s="4"/>
      <c r="F17" s="4"/>
      <c r="G17" s="4"/>
      <c r="H17" s="4"/>
    </row>
    <row r="18" customFormat="false" ht="15" hidden="false" customHeight="true" outlineLevel="0" collapsed="false">
      <c r="A18" s="4"/>
      <c r="B18" s="4"/>
      <c r="C18" s="4"/>
      <c r="D18" s="4"/>
      <c r="E18" s="4"/>
      <c r="F18" s="4"/>
      <c r="G18" s="4"/>
      <c r="H18" s="4"/>
    </row>
    <row r="20" customFormat="false" ht="15" hidden="false" customHeight="true" outlineLevel="0" collapsed="false">
      <c r="A20" s="5" t="s">
        <v>9</v>
      </c>
      <c r="B20" s="5"/>
      <c r="C20" s="5"/>
      <c r="D20" s="5"/>
      <c r="E20" s="5"/>
      <c r="F20" s="5"/>
      <c r="G20" s="5"/>
      <c r="H20" s="5"/>
    </row>
    <row r="21" customFormat="false" ht="45" hidden="false" customHeight="true" outlineLevel="0" collapsed="false">
      <c r="A21" s="4" t="s">
        <v>10</v>
      </c>
      <c r="B21" s="4"/>
      <c r="C21" s="4"/>
      <c r="D21" s="4"/>
      <c r="E21" s="4"/>
      <c r="F21" s="4"/>
      <c r="G21" s="4"/>
      <c r="H21" s="4"/>
    </row>
    <row r="22" customFormat="false" ht="15" hidden="false" customHeight="true" outlineLevel="0" collapsed="false">
      <c r="A22" s="4"/>
      <c r="B22" s="4"/>
      <c r="C22" s="4"/>
      <c r="D22" s="4"/>
      <c r="E22" s="4"/>
      <c r="F22" s="4"/>
      <c r="G22" s="4"/>
      <c r="H22" s="4"/>
    </row>
    <row r="24" customFormat="false" ht="15" hidden="false" customHeight="true" outlineLevel="0" collapsed="false">
      <c r="A24" s="5" t="s">
        <v>11</v>
      </c>
      <c r="B24" s="5"/>
      <c r="C24" s="5"/>
      <c r="D24" s="5"/>
      <c r="E24" s="5"/>
      <c r="F24" s="5"/>
      <c r="G24" s="5"/>
      <c r="H24" s="5"/>
    </row>
    <row r="25" customFormat="false" ht="45" hidden="false" customHeight="true" outlineLevel="0" collapsed="false">
      <c r="A25" s="4" t="s">
        <v>12</v>
      </c>
      <c r="B25" s="4"/>
      <c r="C25" s="4"/>
      <c r="D25" s="4"/>
      <c r="E25" s="4"/>
      <c r="F25" s="4"/>
      <c r="G25" s="4"/>
      <c r="H25" s="4"/>
    </row>
    <row r="26" customFormat="false" ht="15" hidden="false" customHeight="true" outlineLevel="0" collapsed="false">
      <c r="A26" s="4"/>
      <c r="B26" s="4"/>
      <c r="C26" s="4"/>
      <c r="D26" s="4"/>
      <c r="E26" s="4"/>
      <c r="F26" s="4"/>
      <c r="G26" s="4"/>
      <c r="H26" s="4"/>
    </row>
    <row r="28" customFormat="false" ht="15" hidden="false" customHeight="true" outlineLevel="0" collapsed="false">
      <c r="A28" s="6" t="s">
        <v>13</v>
      </c>
      <c r="B28" s="6"/>
      <c r="C28" s="6"/>
      <c r="D28" s="6"/>
      <c r="E28" s="6"/>
      <c r="F28" s="6"/>
      <c r="G28" s="6"/>
      <c r="H28" s="6"/>
    </row>
    <row r="29" customFormat="false" ht="69.75" hidden="false" customHeight="true" outlineLevel="0" collapsed="false">
      <c r="A29" s="4" t="s">
        <v>14</v>
      </c>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3" customFormat="false" ht="15" hidden="false" customHeight="true" outlineLevel="0" collapsed="false">
      <c r="A33" s="7" t="s">
        <v>15</v>
      </c>
    </row>
    <row r="34" customFormat="false" ht="109.5" hidden="false" customHeight="true" outlineLevel="0" collapsed="false">
      <c r="A34" s="8" t="s">
        <v>16</v>
      </c>
    </row>
    <row r="36" customFormat="false" ht="15" hidden="false" customHeight="true" outlineLevel="0" collapsed="false">
      <c r="A36" s="7" t="s">
        <v>17</v>
      </c>
    </row>
    <row r="37" customFormat="false" ht="109.5" hidden="false" customHeight="true" outlineLevel="0" collapsed="false">
      <c r="A37" s="8" t="s">
        <v>18</v>
      </c>
    </row>
    <row r="39" customFormat="false" ht="15" hidden="false" customHeight="true" outlineLevel="0" collapsed="false">
      <c r="A39" s="7" t="s">
        <v>19</v>
      </c>
    </row>
    <row r="40" customFormat="false" ht="109.5" hidden="false" customHeight="true" outlineLevel="0" collapsed="false">
      <c r="A40" s="8" t="s">
        <v>20</v>
      </c>
    </row>
    <row r="42" customFormat="false" ht="15" hidden="false" customHeight="true" outlineLevel="0" collapsed="false">
      <c r="A42" s="7" t="s">
        <v>21</v>
      </c>
    </row>
    <row r="43" customFormat="false" ht="129.75" hidden="false" customHeight="true" outlineLevel="0" collapsed="false">
      <c r="A43" s="8" t="s">
        <v>22</v>
      </c>
    </row>
    <row r="45" customFormat="false" ht="15" hidden="false" customHeight="true" outlineLevel="0" collapsed="false">
      <c r="A45" s="7" t="s">
        <v>23</v>
      </c>
    </row>
    <row r="46" customFormat="false" ht="109.5" hidden="false" customHeight="true" outlineLevel="0" collapsed="false">
      <c r="A46" s="8" t="s">
        <v>24</v>
      </c>
    </row>
    <row r="48" customFormat="false" ht="15" hidden="false" customHeight="true" outlineLevel="0" collapsed="false">
      <c r="A48" s="7" t="s">
        <v>25</v>
      </c>
    </row>
    <row r="49" customFormat="false" ht="129.75" hidden="false" customHeight="true" outlineLevel="0" collapsed="false">
      <c r="A49" s="8" t="s">
        <v>26</v>
      </c>
    </row>
    <row r="51" customFormat="false" ht="15" hidden="false" customHeight="true" outlineLevel="0" collapsed="false">
      <c r="A51" s="7" t="s">
        <v>27</v>
      </c>
    </row>
    <row r="52" customFormat="false" ht="109.5" hidden="false" customHeight="true" outlineLevel="0" collapsed="false">
      <c r="A52" s="8" t="s">
        <v>28</v>
      </c>
    </row>
    <row r="54" customFormat="false" ht="15" hidden="false" customHeight="true" outlineLevel="0" collapsed="false">
      <c r="A54" s="7" t="s">
        <v>29</v>
      </c>
    </row>
    <row r="55" customFormat="false" ht="129.75" hidden="false" customHeight="true" outlineLevel="0" collapsed="false">
      <c r="A55" s="8" t="s">
        <v>30</v>
      </c>
    </row>
    <row r="57" customFormat="false" ht="15" hidden="false" customHeight="true" outlineLevel="0" collapsed="false">
      <c r="A57" s="7" t="s">
        <v>31</v>
      </c>
    </row>
    <row r="58" customFormat="false" ht="120" hidden="false" customHeight="true" outlineLevel="0" collapsed="false">
      <c r="A58" s="8" t="s">
        <v>32</v>
      </c>
    </row>
    <row r="60" customFormat="false" ht="15" hidden="false" customHeight="false" outlineLevel="0" collapsed="false">
      <c r="A60" s="9" t="s">
        <v>33</v>
      </c>
    </row>
    <row r="61" customFormat="false" ht="120" hidden="false" customHeight="true" outlineLevel="0" collapsed="false">
      <c r="A61" s="8" t="s">
        <v>34</v>
      </c>
    </row>
  </sheetData>
  <mergeCells count="14">
    <mergeCell ref="A4:H4"/>
    <mergeCell ref="A5:H6"/>
    <mergeCell ref="A8:H8"/>
    <mergeCell ref="A9:H10"/>
    <mergeCell ref="A12:H12"/>
    <mergeCell ref="A13:H14"/>
    <mergeCell ref="A16:H16"/>
    <mergeCell ref="A17:H18"/>
    <mergeCell ref="A20:H20"/>
    <mergeCell ref="A21:H22"/>
    <mergeCell ref="A24:H24"/>
    <mergeCell ref="A25:H26"/>
    <mergeCell ref="A28:H28"/>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6"/>
    <col collapsed="false" customWidth="true" hidden="false" outlineLevel="0" max="3" min="3" style="1" width="24"/>
    <col collapsed="false" customWidth="true" hidden="false" outlineLevel="0" max="4" min="4" style="1" width="14"/>
    <col collapsed="false" customWidth="true" hidden="false" outlineLevel="0" max="5" min="5" style="1" width="60"/>
  </cols>
  <sheetData>
    <row r="1" customFormat="false" ht="17.25" hidden="false" customHeight="true" outlineLevel="0" collapsed="false">
      <c r="A1" s="10" t="s">
        <v>35</v>
      </c>
    </row>
    <row r="2" customFormat="false" ht="39.75" hidden="false" customHeight="true" outlineLevel="0" collapsed="false">
      <c r="A2" s="8" t="s">
        <v>36</v>
      </c>
    </row>
    <row r="4" customFormat="false" ht="15" hidden="false" customHeight="true" outlineLevel="0" collapsed="false">
      <c r="A4" s="11" t="s">
        <v>37</v>
      </c>
      <c r="B4" s="11" t="s">
        <v>38</v>
      </c>
      <c r="C4" s="11" t="s">
        <v>39</v>
      </c>
      <c r="D4" s="11" t="s">
        <v>40</v>
      </c>
      <c r="E4" s="11" t="s">
        <v>41</v>
      </c>
    </row>
    <row r="5" customFormat="false" ht="45.75" hidden="false" customHeight="true" outlineLevel="0" collapsed="false">
      <c r="A5" s="8" t="s">
        <v>42</v>
      </c>
      <c r="B5" s="8" t="s">
        <v>43</v>
      </c>
      <c r="C5" s="8" t="s">
        <v>44</v>
      </c>
      <c r="D5" s="8" t="n">
        <v>1300</v>
      </c>
      <c r="E5" s="8" t="s">
        <v>45</v>
      </c>
    </row>
    <row r="6" customFormat="false" ht="45.75" hidden="false" customHeight="true" outlineLevel="0" collapsed="false">
      <c r="A6" s="8" t="s">
        <v>46</v>
      </c>
      <c r="B6" s="8" t="s">
        <v>43</v>
      </c>
      <c r="C6" s="8" t="s">
        <v>44</v>
      </c>
      <c r="D6" s="8" t="n">
        <v>300</v>
      </c>
      <c r="E6" s="8" t="s">
        <v>47</v>
      </c>
    </row>
    <row r="7" customFormat="false" ht="45.75" hidden="false" customHeight="true" outlineLevel="0" collapsed="false">
      <c r="A7" s="8" t="s">
        <v>48</v>
      </c>
      <c r="B7" s="8" t="s">
        <v>49</v>
      </c>
      <c r="C7" s="8" t="s">
        <v>50</v>
      </c>
      <c r="D7" s="8" t="n">
        <v>245</v>
      </c>
      <c r="E7" s="8" t="s">
        <v>51</v>
      </c>
    </row>
    <row r="8" customFormat="false" ht="45.75" hidden="false" customHeight="true" outlineLevel="0" collapsed="false">
      <c r="A8" s="8" t="s">
        <v>52</v>
      </c>
      <c r="B8" s="8" t="s">
        <v>53</v>
      </c>
      <c r="C8" s="8" t="s">
        <v>54</v>
      </c>
      <c r="D8" s="8" t="s">
        <v>55</v>
      </c>
      <c r="E8" s="8" t="s">
        <v>56</v>
      </c>
    </row>
    <row r="9" customFormat="false" ht="96" hidden="false" customHeight="true" outlineLevel="0" collapsed="false">
      <c r="A9" s="8" t="s">
        <v>57</v>
      </c>
      <c r="B9" s="8" t="s">
        <v>58</v>
      </c>
      <c r="C9" s="8" t="s">
        <v>59</v>
      </c>
      <c r="D9" s="8" t="n">
        <v>3266.67</v>
      </c>
      <c r="E9" s="8" t="s">
        <v>60</v>
      </c>
    </row>
    <row r="10" customFormat="false" ht="60" hidden="false" customHeight="true" outlineLevel="0" collapsed="false">
      <c r="A10" s="8" t="s">
        <v>61</v>
      </c>
      <c r="B10" s="8" t="s">
        <v>62</v>
      </c>
      <c r="C10" s="8" t="s">
        <v>63</v>
      </c>
      <c r="D10" s="8" t="n">
        <v>3705</v>
      </c>
      <c r="E10" s="8" t="s">
        <v>64</v>
      </c>
    </row>
    <row r="11" customFormat="false" ht="15" hidden="false" customHeight="true" outlineLevel="0" collapsed="false">
      <c r="A11" s="7" t="s">
        <v>65</v>
      </c>
      <c r="D11" s="7" t="n">
        <f aca="false">D5+D6+D7+D10</f>
        <v>5550</v>
      </c>
    </row>
    <row r="12" customFormat="false" ht="78" hidden="false" customHeight="true" outlineLevel="0" collapsed="false"/>
    <row r="13" customFormat="false" ht="78" hidden="false" customHeight="true" outlineLevel="0" collapsed="false">
      <c r="A13" s="8" t="s">
        <v>66</v>
      </c>
    </row>
    <row r="14" customFormat="false" ht="444.75" hidden="false" customHeight="true" outlineLevel="0" collapsed="false">
      <c r="A14" s="8" t="s">
        <v>67</v>
      </c>
    </row>
    <row r="15" customFormat="false" ht="15" hidden="false" customHeight="true" outlineLevel="0" collapsed="false"/>
    <row r="16" customFormat="false" ht="78" hidden="false" customHeight="true" outlineLevel="0" collapsed="false">
      <c r="A16" s="11" t="s">
        <v>68</v>
      </c>
    </row>
    <row r="17" customFormat="false" ht="78" hidden="false" customHeight="true" outlineLevel="0" collapsed="false">
      <c r="A17" s="8" t="s">
        <v>69</v>
      </c>
      <c r="B17" s="8" t="s">
        <v>70</v>
      </c>
      <c r="C17" s="8" t="s">
        <v>71</v>
      </c>
      <c r="D17" s="8" t="s">
        <v>72</v>
      </c>
      <c r="E17" s="8" t="s">
        <v>73</v>
      </c>
    </row>
    <row r="18" customFormat="false" ht="78" hidden="false" customHeight="true" outlineLevel="0" collapsed="false">
      <c r="A18" s="8" t="s">
        <v>74</v>
      </c>
      <c r="B18" s="8" t="s">
        <v>75</v>
      </c>
      <c r="C18" s="8" t="s">
        <v>76</v>
      </c>
      <c r="D18" s="8" t="n">
        <v>30000</v>
      </c>
      <c r="E18" s="8" t="s">
        <v>77</v>
      </c>
    </row>
    <row r="19" customFormat="false" ht="27.75" hidden="false" customHeight="true" outlineLevel="0" collapsed="false">
      <c r="A19" s="8" t="s">
        <v>78</v>
      </c>
      <c r="B19" s="8" t="s">
        <v>79</v>
      </c>
      <c r="C19" s="8" t="s">
        <v>80</v>
      </c>
      <c r="D19" s="8" t="s">
        <v>81</v>
      </c>
      <c r="E19" s="8" t="s">
        <v>82</v>
      </c>
    </row>
    <row r="20" customFormat="false" ht="78" hidden="false" customHeight="true" outlineLevel="0" collapsed="false"/>
    <row r="21" customFormat="false" ht="390.75" hidden="false" customHeight="true" outlineLevel="0" collapsed="false">
      <c r="A21" s="8"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16"/>
    <col collapsed="false" customWidth="true" hidden="false" outlineLevel="0" max="4" min="4" style="1" width="44"/>
    <col collapsed="false" customWidth="true" hidden="false" outlineLevel="0" max="5" min="5" style="1" width="26"/>
    <col collapsed="false" customWidth="true" hidden="false" outlineLevel="0" max="6" min="6" style="1" width="40"/>
  </cols>
  <sheetData>
    <row r="1" customFormat="false" ht="17.25" hidden="false" customHeight="true" outlineLevel="0" collapsed="false">
      <c r="A1" s="10" t="s">
        <v>84</v>
      </c>
    </row>
    <row r="2" customFormat="false" ht="66" hidden="false" customHeight="true" outlineLevel="0" collapsed="false">
      <c r="A2" s="8" t="s">
        <v>85</v>
      </c>
    </row>
    <row r="4" customFormat="false" ht="15" hidden="false" customHeight="true" outlineLevel="0" collapsed="false">
      <c r="A4" s="11" t="s">
        <v>86</v>
      </c>
      <c r="B4" s="11" t="s">
        <v>87</v>
      </c>
      <c r="C4" s="11" t="s">
        <v>88</v>
      </c>
      <c r="D4" s="11" t="s">
        <v>89</v>
      </c>
      <c r="E4" s="11" t="s">
        <v>90</v>
      </c>
      <c r="F4" s="11" t="s">
        <v>91</v>
      </c>
    </row>
    <row r="5" customFormat="false" ht="120" hidden="false" customHeight="true" outlineLevel="0" collapsed="false">
      <c r="A5" s="12" t="s">
        <v>92</v>
      </c>
      <c r="B5" s="8" t="s">
        <v>93</v>
      </c>
      <c r="C5" s="12" t="s">
        <v>94</v>
      </c>
      <c r="D5" s="8" t="s">
        <v>95</v>
      </c>
      <c r="E5" s="8" t="s">
        <v>96</v>
      </c>
      <c r="F5" s="12" t="s">
        <v>97</v>
      </c>
    </row>
    <row r="6" customFormat="false" ht="63.75" hidden="false" customHeight="true" outlineLevel="0" collapsed="false">
      <c r="A6" s="12" t="s">
        <v>98</v>
      </c>
      <c r="B6" s="8" t="s">
        <v>99</v>
      </c>
      <c r="C6" s="12"/>
      <c r="D6" s="8"/>
      <c r="E6" s="8" t="s">
        <v>100</v>
      </c>
      <c r="F6" s="12"/>
    </row>
    <row r="7" customFormat="false" ht="63.75" hidden="false" customHeight="true" outlineLevel="0" collapsed="false">
      <c r="A7" s="12" t="s">
        <v>101</v>
      </c>
      <c r="B7" s="8" t="s">
        <v>102</v>
      </c>
      <c r="C7" s="12"/>
      <c r="D7" s="8" t="s">
        <v>103</v>
      </c>
      <c r="E7" s="8" t="s">
        <v>104</v>
      </c>
      <c r="F7" s="12"/>
    </row>
    <row r="8" customFormat="false" ht="63.75" hidden="false" customHeight="true" outlineLevel="0" collapsed="false">
      <c r="A8" s="12" t="s">
        <v>105</v>
      </c>
      <c r="B8" s="8" t="s">
        <v>106</v>
      </c>
      <c r="C8" s="12"/>
      <c r="D8" s="8" t="s">
        <v>107</v>
      </c>
      <c r="E8" s="8" t="s">
        <v>108</v>
      </c>
      <c r="F8" s="12"/>
    </row>
    <row r="9" customFormat="false" ht="63.75" hidden="false" customHeight="true" outlineLevel="0" collapsed="false">
      <c r="A9" s="12" t="s">
        <v>109</v>
      </c>
      <c r="B9" s="8" t="s">
        <v>110</v>
      </c>
      <c r="C9" s="12"/>
      <c r="D9" s="8" t="s">
        <v>111</v>
      </c>
      <c r="E9" s="8" t="s">
        <v>112</v>
      </c>
      <c r="F9" s="12"/>
    </row>
    <row r="10" customFormat="false" ht="63.75" hidden="false" customHeight="true" outlineLevel="0" collapsed="false">
      <c r="A10" s="12" t="s">
        <v>113</v>
      </c>
      <c r="B10" s="8" t="s">
        <v>114</v>
      </c>
      <c r="C10" s="12"/>
      <c r="D10" s="8" t="s">
        <v>115</v>
      </c>
      <c r="E10" s="8" t="s">
        <v>116</v>
      </c>
      <c r="F10" s="12"/>
    </row>
    <row r="12" customFormat="false" ht="55.5" hidden="false" customHeight="true" outlineLevel="0" collapsed="false">
      <c r="A12" s="8"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8"/>
  </cols>
  <sheetData>
    <row r="1" customFormat="false" ht="17.25" hidden="false" customHeight="true" outlineLevel="0" collapsed="false">
      <c r="A1" s="2" t="s">
        <v>118</v>
      </c>
    </row>
    <row r="2" customFormat="false" ht="15" hidden="false" customHeight="true" outlineLevel="0" collapsed="false">
      <c r="A2" s="13" t="s">
        <v>119</v>
      </c>
    </row>
    <row r="4" customFormat="false" ht="39" hidden="false" customHeight="true" outlineLevel="0" collapsed="false">
      <c r="A4" s="14" t="s">
        <v>87</v>
      </c>
      <c r="B4" s="14" t="s">
        <v>120</v>
      </c>
      <c r="C4" s="14" t="s">
        <v>121</v>
      </c>
      <c r="D4" s="14" t="s">
        <v>122</v>
      </c>
      <c r="E4" s="14" t="s">
        <v>123</v>
      </c>
    </row>
    <row r="5" customFormat="false" ht="15" hidden="false" customHeight="true" outlineLevel="0" collapsed="false">
      <c r="A5" s="15" t="s">
        <v>124</v>
      </c>
      <c r="B5" s="16" t="n">
        <v>418990</v>
      </c>
      <c r="C5" s="16" t="n">
        <v>369980.87</v>
      </c>
      <c r="D5" s="16" t="n">
        <v>130976.23</v>
      </c>
      <c r="E5" s="16" t="n">
        <f aca="false">C5+D5</f>
        <v>500957.1</v>
      </c>
    </row>
    <row r="6" customFormat="false" ht="15" hidden="false" customHeight="true" outlineLevel="0" collapsed="false">
      <c r="A6" s="17" t="s">
        <v>125</v>
      </c>
      <c r="B6" s="18" t="n">
        <v>119455</v>
      </c>
      <c r="C6" s="18" t="n">
        <v>225431.76</v>
      </c>
      <c r="D6" s="18" t="n">
        <v>215.4</v>
      </c>
      <c r="E6" s="18" t="n">
        <f aca="false">C6+D6</f>
        <v>225647.16</v>
      </c>
    </row>
    <row r="7" customFormat="false" ht="15" hidden="false" customHeight="true" outlineLevel="0" collapsed="false">
      <c r="A7" s="17" t="s">
        <v>126</v>
      </c>
      <c r="B7" s="18" t="n">
        <v>22841</v>
      </c>
      <c r="C7" s="18" t="n">
        <v>0</v>
      </c>
      <c r="D7" s="18" t="n">
        <v>0</v>
      </c>
      <c r="E7" s="18" t="n">
        <f aca="false">C7+D7</f>
        <v>0</v>
      </c>
    </row>
    <row r="8" customFormat="false" ht="15" hidden="false" customHeight="true" outlineLevel="0" collapsed="false">
      <c r="A8" s="17" t="s">
        <v>127</v>
      </c>
      <c r="B8" s="18" t="n">
        <v>15340</v>
      </c>
      <c r="C8" s="18" t="n">
        <v>0</v>
      </c>
      <c r="D8" s="18" t="n">
        <v>0</v>
      </c>
      <c r="E8" s="18" t="n">
        <f aca="false">C8+D8</f>
        <v>0</v>
      </c>
    </row>
    <row r="9" customFormat="false" ht="15" hidden="false" customHeight="true" outlineLevel="0" collapsed="false">
      <c r="A9" s="17" t="s">
        <v>128</v>
      </c>
      <c r="B9" s="18" t="n">
        <v>7740</v>
      </c>
      <c r="C9" s="18" t="n">
        <v>0</v>
      </c>
      <c r="D9" s="18" t="n">
        <v>0</v>
      </c>
      <c r="E9" s="18" t="n">
        <f aca="false">C9+D9</f>
        <v>0</v>
      </c>
    </row>
    <row r="10" customFormat="false" ht="15" hidden="false" customHeight="true" outlineLevel="0" collapsed="false">
      <c r="A10" s="17" t="s">
        <v>129</v>
      </c>
      <c r="B10" s="18" t="n">
        <v>0</v>
      </c>
      <c r="C10" s="18" t="n">
        <v>1796.69</v>
      </c>
      <c r="D10" s="18" t="n">
        <v>3007.12</v>
      </c>
      <c r="E10" s="18" t="n">
        <f aca="false">C10+D10</f>
        <v>4803.81</v>
      </c>
    </row>
    <row r="11" customFormat="false" ht="15" hidden="false" customHeight="true" outlineLevel="0" collapsed="false">
      <c r="A11" s="17" t="s">
        <v>130</v>
      </c>
      <c r="B11" s="18" t="n">
        <v>9528</v>
      </c>
      <c r="C11" s="18" t="n">
        <v>0</v>
      </c>
      <c r="D11" s="18" t="n">
        <v>0</v>
      </c>
      <c r="E11" s="18" t="n">
        <f aca="false">C11+D11</f>
        <v>0</v>
      </c>
    </row>
    <row r="12" customFormat="false" ht="15" hidden="false" customHeight="true" outlineLevel="0" collapsed="false">
      <c r="A12" s="17" t="s">
        <v>131</v>
      </c>
      <c r="B12" s="18" t="n">
        <v>18913</v>
      </c>
      <c r="C12" s="18" t="n">
        <v>2538</v>
      </c>
      <c r="D12" s="18" t="n">
        <v>735</v>
      </c>
      <c r="E12" s="18" t="n">
        <f aca="false">C12+D12</f>
        <v>3273</v>
      </c>
    </row>
    <row r="13" customFormat="false" ht="15" hidden="false" customHeight="true" outlineLevel="0" collapsed="false">
      <c r="A13" s="17" t="s">
        <v>132</v>
      </c>
      <c r="B13" s="18" t="n">
        <v>150577</v>
      </c>
      <c r="C13" s="18" t="n">
        <v>105777.57</v>
      </c>
      <c r="D13" s="18" t="n">
        <v>8873.49</v>
      </c>
      <c r="E13" s="18" t="n">
        <f aca="false">C13+D13</f>
        <v>114651.06</v>
      </c>
    </row>
    <row r="14" customFormat="false" ht="15" hidden="false" customHeight="true" outlineLevel="0" collapsed="false">
      <c r="A14" s="17" t="s">
        <v>133</v>
      </c>
      <c r="B14" s="18" t="n">
        <v>5919</v>
      </c>
      <c r="C14" s="18" t="n">
        <v>0</v>
      </c>
      <c r="D14" s="18" t="n">
        <v>0</v>
      </c>
      <c r="E14" s="18" t="n">
        <f aca="false">C14+D14</f>
        <v>0</v>
      </c>
    </row>
    <row r="15" customFormat="false" ht="15" hidden="false" customHeight="true" outlineLevel="0" collapsed="false">
      <c r="A15" s="17" t="s">
        <v>134</v>
      </c>
      <c r="B15" s="18" t="n">
        <v>31985</v>
      </c>
      <c r="C15" s="18" t="n">
        <v>4040.4</v>
      </c>
      <c r="D15" s="18" t="n">
        <v>1352.75</v>
      </c>
      <c r="E15" s="18" t="n">
        <f aca="false">C15+D15</f>
        <v>5393.15</v>
      </c>
    </row>
    <row r="16" customFormat="false" ht="15" hidden="false" customHeight="true" outlineLevel="0" collapsed="false">
      <c r="A16" s="17" t="s">
        <v>135</v>
      </c>
      <c r="B16" s="18" t="n">
        <v>6901</v>
      </c>
      <c r="C16" s="18" t="n">
        <v>515.28</v>
      </c>
      <c r="D16" s="18" t="n">
        <v>104441.31</v>
      </c>
      <c r="E16" s="18" t="n">
        <f aca="false">C16+D16</f>
        <v>104956.59</v>
      </c>
    </row>
    <row r="17" customFormat="false" ht="15" hidden="false" customHeight="true" outlineLevel="0" collapsed="false">
      <c r="A17" s="17" t="s">
        <v>136</v>
      </c>
      <c r="B17" s="18" t="n">
        <v>22500</v>
      </c>
      <c r="C17" s="18" t="n">
        <v>19700</v>
      </c>
      <c r="D17" s="18" t="n">
        <v>17500</v>
      </c>
      <c r="E17" s="18" t="n">
        <f aca="false">C17+D17</f>
        <v>37200</v>
      </c>
    </row>
    <row r="18" customFormat="false" ht="15" hidden="false" customHeight="true" outlineLevel="0" collapsed="false">
      <c r="A18" s="17" t="s">
        <v>137</v>
      </c>
      <c r="B18" s="18" t="n">
        <v>4124</v>
      </c>
      <c r="C18" s="18" t="n">
        <v>330.78</v>
      </c>
      <c r="D18" s="18" t="n">
        <v>1519.9</v>
      </c>
      <c r="E18" s="18" t="n">
        <f aca="false">C18+D18</f>
        <v>1850.68</v>
      </c>
    </row>
    <row r="19" customFormat="false" ht="15" hidden="false" customHeight="true" outlineLevel="0" collapsed="false">
      <c r="A19" s="17" t="s">
        <v>138</v>
      </c>
      <c r="B19" s="18" t="n">
        <v>0</v>
      </c>
      <c r="C19" s="18" t="n">
        <v>0</v>
      </c>
      <c r="D19" s="18" t="n">
        <v>230.68</v>
      </c>
      <c r="E19" s="18" t="n">
        <f aca="false">C19+D19</f>
        <v>230.68</v>
      </c>
    </row>
    <row r="20" customFormat="false" ht="15" hidden="false" customHeight="true" outlineLevel="0" collapsed="false">
      <c r="A20" s="17" t="s">
        <v>139</v>
      </c>
      <c r="B20" s="18" t="n">
        <v>518</v>
      </c>
      <c r="C20" s="18" t="n">
        <v>0</v>
      </c>
      <c r="D20" s="18" t="n">
        <v>0</v>
      </c>
      <c r="E20" s="18" t="n">
        <f aca="false">C20+D20</f>
        <v>0</v>
      </c>
    </row>
    <row r="21" customFormat="false" ht="15" hidden="false" customHeight="true" outlineLevel="0" collapsed="false">
      <c r="A21" s="15" t="s">
        <v>140</v>
      </c>
      <c r="B21" s="16" t="n">
        <v>416342</v>
      </c>
      <c r="C21" s="16" t="n">
        <v>360130.48</v>
      </c>
      <c r="D21" s="16" t="n">
        <v>137875.65</v>
      </c>
      <c r="E21" s="16" t="n">
        <f aca="false">C21+D21</f>
        <v>498006.13</v>
      </c>
    </row>
    <row r="22" customFormat="false" ht="15" hidden="false" customHeight="true" outlineLevel="0" collapsed="false">
      <c r="A22" s="15" t="s">
        <v>141</v>
      </c>
      <c r="B22" s="16" t="n">
        <v>2648</v>
      </c>
      <c r="C22" s="16" t="n">
        <v>9850.39</v>
      </c>
      <c r="D22" s="16" t="n">
        <v>-6899.42</v>
      </c>
      <c r="E22" s="16" t="n">
        <f aca="false">C22+D22</f>
        <v>2950.97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142</v>
      </c>
    </row>
    <row r="2" customFormat="false" ht="15" hidden="false" customHeight="true" outlineLevel="0" collapsed="false">
      <c r="A2" s="13" t="s">
        <v>143</v>
      </c>
    </row>
    <row r="4" customFormat="false" ht="26.25" hidden="false" customHeight="true" outlineLevel="0" collapsed="false">
      <c r="A4" s="14" t="s">
        <v>144</v>
      </c>
      <c r="B4" s="14" t="s">
        <v>145</v>
      </c>
      <c r="C4" s="14" t="s">
        <v>146</v>
      </c>
      <c r="D4" s="14" t="s">
        <v>147</v>
      </c>
      <c r="E4" s="14" t="s">
        <v>148</v>
      </c>
      <c r="F4" s="14" t="s">
        <v>149</v>
      </c>
      <c r="G4" s="14" t="s">
        <v>150</v>
      </c>
      <c r="H4" s="14" t="s">
        <v>151</v>
      </c>
      <c r="I4" s="14" t="s">
        <v>152</v>
      </c>
      <c r="J4" s="14" t="s">
        <v>153</v>
      </c>
      <c r="K4" s="14" t="s">
        <v>154</v>
      </c>
      <c r="L4" s="14" t="s">
        <v>155</v>
      </c>
      <c r="M4" s="14" t="s">
        <v>156</v>
      </c>
      <c r="N4" s="14" t="s">
        <v>157</v>
      </c>
    </row>
    <row r="5" customFormat="false" ht="15" hidden="false" customHeight="true" outlineLevel="0" collapsed="false">
      <c r="A5" s="19" t="s">
        <v>93</v>
      </c>
      <c r="B5" s="18" t="n">
        <v>18589.07</v>
      </c>
      <c r="C5" s="18" t="n">
        <v>26923.71</v>
      </c>
      <c r="D5" s="18" t="n">
        <v>9918.8</v>
      </c>
      <c r="E5" s="18" t="n">
        <v>9193.25</v>
      </c>
      <c r="F5" s="18" t="n">
        <v>45269.73</v>
      </c>
      <c r="G5" s="18" t="n">
        <v>35391.31</v>
      </c>
      <c r="H5" s="18" t="n">
        <v>63825.86</v>
      </c>
      <c r="I5" s="18" t="n">
        <v>76957.08</v>
      </c>
      <c r="J5" s="18" t="n">
        <v>41546.22</v>
      </c>
      <c r="K5" s="18" t="n">
        <v>33310.13</v>
      </c>
      <c r="L5" s="18" t="n">
        <v>25154.74</v>
      </c>
      <c r="M5" s="18" t="n">
        <v>32910.1</v>
      </c>
      <c r="N5" s="20" t="n">
        <f aca="false">SUM(B5:M5)</f>
        <v>418990</v>
      </c>
    </row>
    <row r="6" customFormat="false" ht="15" hidden="false" customHeight="true" outlineLevel="0" collapsed="false">
      <c r="A6" s="1" t="s">
        <v>125</v>
      </c>
      <c r="B6" s="18" t="n">
        <v>6680.56</v>
      </c>
      <c r="C6" s="18" t="n">
        <v>9675.87</v>
      </c>
      <c r="D6" s="18" t="n">
        <v>3564.63</v>
      </c>
      <c r="E6" s="18" t="n">
        <v>3303.88</v>
      </c>
      <c r="F6" s="18" t="n">
        <v>16269.07</v>
      </c>
      <c r="G6" s="18" t="n">
        <v>12718.96</v>
      </c>
      <c r="H6" s="18" t="n">
        <v>22937.79</v>
      </c>
      <c r="I6" s="18" t="n">
        <v>27656.91</v>
      </c>
      <c r="J6" s="18" t="n">
        <v>14930.92</v>
      </c>
      <c r="K6" s="18" t="n">
        <v>11971.02</v>
      </c>
      <c r="L6" s="18" t="n">
        <v>9040.13</v>
      </c>
      <c r="M6" s="18" t="n">
        <v>11827.26</v>
      </c>
      <c r="N6" s="18" t="n">
        <f aca="false">SUM(B6:M6)</f>
        <v>150577</v>
      </c>
    </row>
    <row r="7" customFormat="false" ht="15" hidden="false" customHeight="true" outlineLevel="0" collapsed="false">
      <c r="A7" s="1" t="s">
        <v>126</v>
      </c>
      <c r="B7" s="18" t="n">
        <v>1013.37</v>
      </c>
      <c r="C7" s="18" t="n">
        <v>1467.73</v>
      </c>
      <c r="D7" s="18" t="n">
        <v>540.72</v>
      </c>
      <c r="E7" s="18" t="n">
        <v>501.16</v>
      </c>
      <c r="F7" s="18" t="n">
        <v>2467.85</v>
      </c>
      <c r="G7" s="18" t="n">
        <v>1929.34</v>
      </c>
      <c r="H7" s="18" t="n">
        <v>3479.43</v>
      </c>
      <c r="I7" s="18" t="n">
        <v>4195.27</v>
      </c>
      <c r="J7" s="18" t="n">
        <v>2264.87</v>
      </c>
      <c r="K7" s="18" t="n">
        <v>1815.88</v>
      </c>
      <c r="L7" s="18" t="n">
        <v>1371.3</v>
      </c>
      <c r="M7" s="18" t="n">
        <v>1794.08</v>
      </c>
      <c r="N7" s="18" t="n">
        <f aca="false">SUM(B7:M7)</f>
        <v>22841</v>
      </c>
    </row>
    <row r="8" customFormat="false" ht="15" hidden="false" customHeight="true" outlineLevel="0" collapsed="false">
      <c r="A8" s="1" t="s">
        <v>127</v>
      </c>
      <c r="B8" s="18" t="n">
        <v>680.58</v>
      </c>
      <c r="C8" s="18" t="n">
        <v>985.73</v>
      </c>
      <c r="D8" s="18" t="n">
        <v>363.15</v>
      </c>
      <c r="E8" s="18" t="n">
        <v>336.58</v>
      </c>
      <c r="F8" s="18" t="n">
        <v>1657.41</v>
      </c>
      <c r="G8" s="18" t="n">
        <v>1295.74</v>
      </c>
      <c r="H8" s="18" t="n">
        <v>2336.78</v>
      </c>
      <c r="I8" s="18" t="n">
        <v>2817.54</v>
      </c>
      <c r="J8" s="18" t="n">
        <v>1521.08</v>
      </c>
      <c r="K8" s="18" t="n">
        <v>1219.55</v>
      </c>
      <c r="L8" s="18" t="n">
        <v>920.96</v>
      </c>
      <c r="M8" s="18" t="n">
        <v>1204.9</v>
      </c>
      <c r="N8" s="18" t="n">
        <f aca="false">SUM(B8:M8)</f>
        <v>15340</v>
      </c>
    </row>
    <row r="9" customFormat="false" ht="15" hidden="false" customHeight="true" outlineLevel="0" collapsed="false">
      <c r="A9" s="1" t="s">
        <v>128</v>
      </c>
      <c r="B9" s="18" t="n">
        <v>343.4</v>
      </c>
      <c r="C9" s="18" t="n">
        <v>497.36</v>
      </c>
      <c r="D9" s="18" t="n">
        <v>183.23</v>
      </c>
      <c r="E9" s="18" t="n">
        <v>169.83</v>
      </c>
      <c r="F9" s="18" t="n">
        <v>836.27</v>
      </c>
      <c r="G9" s="18" t="n">
        <v>653.78</v>
      </c>
      <c r="H9" s="18" t="n">
        <v>1179.05</v>
      </c>
      <c r="I9" s="18" t="n">
        <v>1421.63</v>
      </c>
      <c r="J9" s="18" t="n">
        <v>767.48</v>
      </c>
      <c r="K9" s="18" t="n">
        <v>615.34</v>
      </c>
      <c r="L9" s="18" t="n">
        <v>464.68</v>
      </c>
      <c r="M9" s="18" t="n">
        <v>607.95</v>
      </c>
      <c r="N9" s="18" t="n">
        <f aca="false">SUM(B9:M9)</f>
        <v>7740</v>
      </c>
    </row>
    <row r="10" customFormat="false" ht="15" hidden="false" customHeight="true" outlineLevel="0" collapsed="false">
      <c r="A10" s="1" t="s">
        <v>130</v>
      </c>
      <c r="B10" s="18" t="n">
        <v>422.72</v>
      </c>
      <c r="C10" s="18" t="n">
        <v>612.26</v>
      </c>
      <c r="D10" s="18" t="n">
        <v>225.56</v>
      </c>
      <c r="E10" s="18" t="n">
        <v>209.06</v>
      </c>
      <c r="F10" s="18" t="n">
        <v>1029.45</v>
      </c>
      <c r="G10" s="18" t="n">
        <v>804.81</v>
      </c>
      <c r="H10" s="18" t="n">
        <v>1451.43</v>
      </c>
      <c r="I10" s="18" t="n">
        <v>1750.03</v>
      </c>
      <c r="J10" s="18" t="n">
        <v>944.78</v>
      </c>
      <c r="K10" s="18" t="n">
        <v>757.49</v>
      </c>
      <c r="L10" s="18" t="n">
        <v>572.03</v>
      </c>
      <c r="M10" s="18" t="n">
        <v>748.39</v>
      </c>
      <c r="N10" s="18" t="n">
        <f aca="false">SUM(B10:M10)</f>
        <v>9528.01</v>
      </c>
    </row>
    <row r="11" customFormat="false" ht="15" hidden="false" customHeight="true" outlineLevel="0" collapsed="false">
      <c r="A11" s="1" t="s">
        <v>131</v>
      </c>
      <c r="B11" s="18" t="n">
        <v>839.1</v>
      </c>
      <c r="C11" s="18" t="n">
        <v>1215.32</v>
      </c>
      <c r="D11" s="18" t="n">
        <v>447.73</v>
      </c>
      <c r="E11" s="18" t="n">
        <v>414.98</v>
      </c>
      <c r="F11" s="18" t="n">
        <v>2043.45</v>
      </c>
      <c r="G11" s="18" t="n">
        <v>1597.55</v>
      </c>
      <c r="H11" s="18" t="n">
        <v>2881.07</v>
      </c>
      <c r="I11" s="18" t="n">
        <v>3473.8</v>
      </c>
      <c r="J11" s="18" t="n">
        <v>1875.38</v>
      </c>
      <c r="K11" s="18" t="n">
        <v>1503.6</v>
      </c>
      <c r="L11" s="18" t="n">
        <v>1135.47</v>
      </c>
      <c r="M11" s="18" t="n">
        <v>1485.55</v>
      </c>
      <c r="N11" s="18" t="n">
        <f aca="false">SUM(B11:M11)</f>
        <v>18913</v>
      </c>
    </row>
    <row r="12" customFormat="false" ht="15" hidden="false" customHeight="true" outlineLevel="0" collapsed="false">
      <c r="A12" s="1" t="s">
        <v>132</v>
      </c>
      <c r="B12" s="18" t="n">
        <v>5299.79</v>
      </c>
      <c r="C12" s="18" t="n">
        <v>7676.01</v>
      </c>
      <c r="D12" s="18" t="n">
        <v>2827.87</v>
      </c>
      <c r="E12" s="18" t="n">
        <v>2621.02</v>
      </c>
      <c r="F12" s="18" t="n">
        <v>12906.5</v>
      </c>
      <c r="G12" s="18" t="n">
        <v>10090.14</v>
      </c>
      <c r="H12" s="18" t="n">
        <v>18196.9</v>
      </c>
      <c r="I12" s="18" t="n">
        <v>21940.64</v>
      </c>
      <c r="J12" s="18" t="n">
        <v>11844.92</v>
      </c>
      <c r="K12" s="18" t="n">
        <v>9496.79</v>
      </c>
      <c r="L12" s="18" t="n">
        <v>7171.67</v>
      </c>
      <c r="M12" s="18" t="n">
        <v>9382.75</v>
      </c>
      <c r="N12" s="18" t="n">
        <f aca="false">SUM(B12:M12)</f>
        <v>119455</v>
      </c>
    </row>
    <row r="13" customFormat="false" ht="15" hidden="false" customHeight="true" outlineLevel="0" collapsed="false">
      <c r="A13" s="1" t="s">
        <v>133</v>
      </c>
      <c r="B13" s="18" t="n">
        <v>262.6</v>
      </c>
      <c r="C13" s="18" t="n">
        <v>380.35</v>
      </c>
      <c r="D13" s="18" t="n">
        <v>140.12</v>
      </c>
      <c r="E13" s="18" t="n">
        <v>129.87</v>
      </c>
      <c r="F13" s="18" t="n">
        <v>639.52</v>
      </c>
      <c r="G13" s="18" t="n">
        <v>499.97</v>
      </c>
      <c r="H13" s="18" t="n">
        <v>901.66</v>
      </c>
      <c r="I13" s="18" t="n">
        <v>1087.16</v>
      </c>
      <c r="J13" s="18" t="n">
        <v>586.92</v>
      </c>
      <c r="K13" s="18" t="n">
        <v>470.57</v>
      </c>
      <c r="L13" s="18" t="n">
        <v>355.36</v>
      </c>
      <c r="M13" s="18" t="n">
        <v>464.92</v>
      </c>
      <c r="N13" s="18" t="n">
        <f aca="false">SUM(B13:M13)</f>
        <v>5919.02</v>
      </c>
    </row>
    <row r="14" customFormat="false" ht="15" hidden="false" customHeight="true" outlineLevel="0" collapsed="false">
      <c r="A14" s="1" t="s">
        <v>134</v>
      </c>
      <c r="B14" s="18" t="n">
        <v>1419.06</v>
      </c>
      <c r="C14" s="18" t="n">
        <v>2055.31</v>
      </c>
      <c r="D14" s="18" t="n">
        <v>757.18</v>
      </c>
      <c r="E14" s="18" t="n">
        <v>701.8</v>
      </c>
      <c r="F14" s="18" t="n">
        <v>3455.82</v>
      </c>
      <c r="G14" s="18" t="n">
        <v>2701.71</v>
      </c>
      <c r="H14" s="18" t="n">
        <v>4872.36</v>
      </c>
      <c r="I14" s="18" t="n">
        <v>5874.78</v>
      </c>
      <c r="J14" s="18" t="n">
        <v>3171.57</v>
      </c>
      <c r="K14" s="18" t="n">
        <v>2542.84</v>
      </c>
      <c r="L14" s="18" t="n">
        <v>1920.27</v>
      </c>
      <c r="M14" s="18" t="n">
        <v>2512.3</v>
      </c>
      <c r="N14" s="18" t="n">
        <f aca="false">SUM(B14:M14)</f>
        <v>31985</v>
      </c>
    </row>
    <row r="15" customFormat="false" ht="15" hidden="false" customHeight="true" outlineLevel="0" collapsed="false">
      <c r="A15" s="1" t="s">
        <v>135</v>
      </c>
      <c r="B15" s="18" t="n">
        <v>306.17</v>
      </c>
      <c r="C15" s="18" t="n">
        <v>443.45</v>
      </c>
      <c r="D15" s="18" t="n">
        <v>163.37</v>
      </c>
      <c r="E15" s="18" t="n">
        <v>151.42</v>
      </c>
      <c r="F15" s="18" t="n">
        <v>745.62</v>
      </c>
      <c r="G15" s="18" t="n">
        <v>582.91</v>
      </c>
      <c r="H15" s="18" t="n">
        <v>1051.25</v>
      </c>
      <c r="I15" s="18" t="n">
        <v>1267.53</v>
      </c>
      <c r="J15" s="18" t="n">
        <v>684.29</v>
      </c>
      <c r="K15" s="18" t="n">
        <v>548.64</v>
      </c>
      <c r="L15" s="18" t="n">
        <v>414.31</v>
      </c>
      <c r="M15" s="18" t="n">
        <v>542.05</v>
      </c>
      <c r="N15" s="18" t="n">
        <f aca="false">SUM(B15:M15)</f>
        <v>6901.01</v>
      </c>
    </row>
    <row r="16" customFormat="false" ht="15" hidden="false" customHeight="true" outlineLevel="0" collapsed="false">
      <c r="A16" s="1" t="s">
        <v>136</v>
      </c>
      <c r="B16" s="18" t="n">
        <v>998.24</v>
      </c>
      <c r="C16" s="18" t="n">
        <v>1445.82</v>
      </c>
      <c r="D16" s="18" t="n">
        <v>532.65</v>
      </c>
      <c r="E16" s="18" t="n">
        <v>493.68</v>
      </c>
      <c r="F16" s="18" t="n">
        <v>2431.01</v>
      </c>
      <c r="G16" s="18" t="n">
        <v>1900.53</v>
      </c>
      <c r="H16" s="18" t="n">
        <v>3427.48</v>
      </c>
      <c r="I16" s="18" t="n">
        <v>4132.64</v>
      </c>
      <c r="J16" s="18" t="n">
        <v>2231.06</v>
      </c>
      <c r="K16" s="18" t="n">
        <v>1788.77</v>
      </c>
      <c r="L16" s="18" t="n">
        <v>1350.82</v>
      </c>
      <c r="M16" s="18" t="n">
        <v>1767.29</v>
      </c>
      <c r="N16" s="18" t="n">
        <f aca="false">SUM(B16:M16)</f>
        <v>22499.99</v>
      </c>
    </row>
    <row r="17" customFormat="false" ht="15" hidden="false" customHeight="true" outlineLevel="0" collapsed="false">
      <c r="A17" s="1" t="s">
        <v>137</v>
      </c>
      <c r="B17" s="18" t="n">
        <v>182.97</v>
      </c>
      <c r="C17" s="18" t="n">
        <v>265</v>
      </c>
      <c r="D17" s="18" t="n">
        <v>97.63</v>
      </c>
      <c r="E17" s="18" t="n">
        <v>90.49</v>
      </c>
      <c r="F17" s="18" t="n">
        <v>445.58</v>
      </c>
      <c r="G17" s="18" t="n">
        <v>348.35</v>
      </c>
      <c r="H17" s="18" t="n">
        <v>628.22</v>
      </c>
      <c r="I17" s="18" t="n">
        <v>757.47</v>
      </c>
      <c r="J17" s="18" t="n">
        <v>408.93</v>
      </c>
      <c r="K17" s="18" t="n">
        <v>327.86</v>
      </c>
      <c r="L17" s="18" t="n">
        <v>247.59</v>
      </c>
      <c r="M17" s="18" t="n">
        <v>323.92</v>
      </c>
      <c r="N17" s="18" t="n">
        <f aca="false">SUM(B17:M17)</f>
        <v>4124.01</v>
      </c>
    </row>
    <row r="18" customFormat="false" ht="15" hidden="false" customHeight="true" outlineLevel="0" collapsed="false">
      <c r="A18" s="1" t="s">
        <v>158</v>
      </c>
      <c r="B18" s="18" t="n">
        <v>22.98</v>
      </c>
      <c r="C18" s="18" t="n">
        <v>33.29</v>
      </c>
      <c r="D18" s="18" t="n">
        <v>12.26</v>
      </c>
      <c r="E18" s="18" t="n">
        <v>11.37</v>
      </c>
      <c r="F18" s="18" t="n">
        <v>55.97</v>
      </c>
      <c r="G18" s="18" t="n">
        <v>43.75</v>
      </c>
      <c r="H18" s="18" t="n">
        <v>78.91</v>
      </c>
      <c r="I18" s="18" t="n">
        <v>95.14</v>
      </c>
      <c r="J18" s="18" t="n">
        <v>51.36</v>
      </c>
      <c r="K18" s="18" t="n">
        <v>41.18</v>
      </c>
      <c r="L18" s="18" t="n">
        <v>31.1</v>
      </c>
      <c r="M18" s="18" t="n">
        <v>40.69</v>
      </c>
      <c r="N18" s="18" t="n">
        <f aca="false">SUM(B18:M18)</f>
        <v>518</v>
      </c>
    </row>
    <row r="19" customFormat="false" ht="15" hidden="false" customHeight="true" outlineLevel="0" collapsed="false">
      <c r="A19" s="15" t="s">
        <v>140</v>
      </c>
      <c r="B19" s="16" t="n">
        <f aca="false">SUM(B6:B18)</f>
        <v>18471.54</v>
      </c>
      <c r="C19" s="16" t="n">
        <f aca="false">SUM(C6:C18)</f>
        <v>26753.5</v>
      </c>
      <c r="D19" s="16" t="n">
        <f aca="false">SUM(D6:D18)</f>
        <v>9856.1</v>
      </c>
      <c r="E19" s="16" t="n">
        <f aca="false">SUM(E6:E18)</f>
        <v>9135.14</v>
      </c>
      <c r="F19" s="16" t="n">
        <f aca="false">SUM(F6:F18)</f>
        <v>44983.52</v>
      </c>
      <c r="G19" s="16" t="n">
        <f aca="false">SUM(G6:G18)</f>
        <v>35167.54</v>
      </c>
      <c r="H19" s="16" t="n">
        <f aca="false">SUM(H6:H18)</f>
        <v>63422.33</v>
      </c>
      <c r="I19" s="16" t="n">
        <f aca="false">SUM(I6:I18)</f>
        <v>76470.54</v>
      </c>
      <c r="J19" s="16" t="n">
        <f aca="false">SUM(J6:J18)</f>
        <v>41283.56</v>
      </c>
      <c r="K19" s="16" t="n">
        <f aca="false">SUM(K6:K18)</f>
        <v>33099.53</v>
      </c>
      <c r="L19" s="16" t="n">
        <f aca="false">SUM(L6:L18)</f>
        <v>24995.69</v>
      </c>
      <c r="M19" s="16" t="n">
        <f aca="false">SUM(M6:M18)</f>
        <v>32702.05</v>
      </c>
      <c r="N19" s="20" t="n">
        <f aca="false">SUM(B19:M19)</f>
        <v>416341.04</v>
      </c>
    </row>
    <row r="20" customFormat="false" ht="15" hidden="false" customHeight="true" outlineLevel="0" collapsed="false">
      <c r="A20" s="15" t="s">
        <v>141</v>
      </c>
      <c r="B20" s="16" t="n">
        <f aca="false">B5-B19</f>
        <v>117.529999999999</v>
      </c>
      <c r="C20" s="16" t="n">
        <f aca="false">C5-C19</f>
        <v>170.209999999999</v>
      </c>
      <c r="D20" s="16" t="n">
        <f aca="false">D5-D19</f>
        <v>62.6999999999989</v>
      </c>
      <c r="E20" s="16" t="n">
        <f aca="false">E5-E19</f>
        <v>58.1100000000006</v>
      </c>
      <c r="F20" s="16" t="n">
        <f aca="false">F5-F19</f>
        <v>286.210000000006</v>
      </c>
      <c r="G20" s="16" t="n">
        <f aca="false">G5-G19</f>
        <v>223.769999999997</v>
      </c>
      <c r="H20" s="16" t="n">
        <f aca="false">H5-H19</f>
        <v>403.529999999999</v>
      </c>
      <c r="I20" s="16" t="n">
        <f aca="false">I5-I19</f>
        <v>486.540000000008</v>
      </c>
      <c r="J20" s="16" t="n">
        <f aca="false">J5-J19</f>
        <v>262.660000000004</v>
      </c>
      <c r="K20" s="16" t="n">
        <f aca="false">K5-K19</f>
        <v>210.599999999999</v>
      </c>
      <c r="L20" s="16" t="n">
        <f aca="false">L5-L19</f>
        <v>159.050000000003</v>
      </c>
      <c r="M20" s="16" t="n">
        <f aca="false">M5-M19</f>
        <v>208.049999999999</v>
      </c>
      <c r="N20" s="20" t="n">
        <f aca="false">SUM(B20:M20)</f>
        <v>2648.96000000001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159</v>
      </c>
    </row>
    <row r="2" customFormat="false" ht="15" hidden="false" customHeight="true" outlineLevel="0" collapsed="false">
      <c r="A2" s="13" t="s">
        <v>160</v>
      </c>
    </row>
    <row r="4" customFormat="false" ht="26.25" hidden="false" customHeight="true" outlineLevel="0" collapsed="false">
      <c r="A4" s="14" t="s">
        <v>144</v>
      </c>
      <c r="B4" s="14" t="s">
        <v>145</v>
      </c>
      <c r="C4" s="14" t="s">
        <v>146</v>
      </c>
      <c r="D4" s="14" t="s">
        <v>147</v>
      </c>
      <c r="E4" s="14" t="s">
        <v>148</v>
      </c>
      <c r="F4" s="14" t="s">
        <v>149</v>
      </c>
      <c r="G4" s="14" t="s">
        <v>150</v>
      </c>
      <c r="H4" s="14" t="s">
        <v>151</v>
      </c>
      <c r="I4" s="14" t="s">
        <v>152</v>
      </c>
      <c r="J4" s="14" t="s">
        <v>153</v>
      </c>
      <c r="K4" s="14" t="s">
        <v>154</v>
      </c>
      <c r="L4" s="14" t="s">
        <v>155</v>
      </c>
      <c r="M4" s="14" t="s">
        <v>156</v>
      </c>
      <c r="N4" s="14" t="s">
        <v>157</v>
      </c>
    </row>
    <row r="5" customFormat="false" ht="15" hidden="false" customHeight="true" outlineLevel="0" collapsed="false">
      <c r="A5" s="19" t="s">
        <v>93</v>
      </c>
      <c r="B5" s="18" t="n">
        <v>53470</v>
      </c>
      <c r="C5" s="18" t="n">
        <v>60844.52</v>
      </c>
      <c r="D5" s="18" t="n">
        <v>54507</v>
      </c>
      <c r="E5" s="18" t="n">
        <v>25686.36</v>
      </c>
      <c r="F5" s="18" t="n">
        <v>24077.17</v>
      </c>
      <c r="G5" s="18" t="n">
        <v>15411.99</v>
      </c>
      <c r="H5" s="18" t="n">
        <v>11922.63</v>
      </c>
      <c r="I5" s="18" t="n">
        <v>27550.31</v>
      </c>
      <c r="J5" s="18" t="n">
        <v>7594.57</v>
      </c>
      <c r="K5" s="18" t="n">
        <v>13413.7</v>
      </c>
      <c r="L5" s="18" t="n">
        <v>44458.16</v>
      </c>
      <c r="M5" s="18" t="n">
        <v>31044.47</v>
      </c>
      <c r="N5" s="20" t="n">
        <f aca="false">SUM(B5:M5)</f>
        <v>369980.88</v>
      </c>
    </row>
    <row r="6" customFormat="false" ht="15" hidden="false" customHeight="true" outlineLevel="0" collapsed="false">
      <c r="A6" s="1" t="s">
        <v>125</v>
      </c>
      <c r="B6" s="18" t="n">
        <v>15287.08</v>
      </c>
      <c r="C6" s="18" t="n">
        <v>17395.45</v>
      </c>
      <c r="D6" s="18" t="n">
        <v>15583.56</v>
      </c>
      <c r="E6" s="18" t="n">
        <v>7343.73</v>
      </c>
      <c r="F6" s="18" t="n">
        <v>6883.67</v>
      </c>
      <c r="G6" s="18" t="n">
        <v>4406.29</v>
      </c>
      <c r="H6" s="18" t="n">
        <v>3408.68</v>
      </c>
      <c r="I6" s="18" t="n">
        <v>7876.64</v>
      </c>
      <c r="J6" s="18" t="n">
        <v>2171.29</v>
      </c>
      <c r="K6" s="18" t="n">
        <v>3834.98</v>
      </c>
      <c r="L6" s="18" t="n">
        <v>12710.59</v>
      </c>
      <c r="M6" s="18" t="n">
        <v>8875.62</v>
      </c>
      <c r="N6" s="18" t="n">
        <f aca="false">SUM(B6:M6)</f>
        <v>105777.58</v>
      </c>
    </row>
    <row r="7" customFormat="false" ht="15" hidden="false" customHeight="true" outlineLevel="0" collapsed="false">
      <c r="A7" s="1" t="s">
        <v>129</v>
      </c>
      <c r="B7" s="18" t="n">
        <v>259.66</v>
      </c>
      <c r="C7" s="18" t="n">
        <v>295.47</v>
      </c>
      <c r="D7" s="18" t="n">
        <v>264.7</v>
      </c>
      <c r="E7" s="18" t="n">
        <v>124.74</v>
      </c>
      <c r="F7" s="18" t="n">
        <v>116.92</v>
      </c>
      <c r="G7" s="18" t="n">
        <v>74.84</v>
      </c>
      <c r="H7" s="18" t="n">
        <v>57.9</v>
      </c>
      <c r="I7" s="18" t="n">
        <v>133.79</v>
      </c>
      <c r="J7" s="18" t="n">
        <v>36.88</v>
      </c>
      <c r="K7" s="18" t="n">
        <v>65.14</v>
      </c>
      <c r="L7" s="18" t="n">
        <v>215.9</v>
      </c>
      <c r="M7" s="18" t="n">
        <v>150.76</v>
      </c>
      <c r="N7" s="18" t="n">
        <f aca="false">SUM(B7:M7)</f>
        <v>1796.7</v>
      </c>
    </row>
    <row r="8" customFormat="false" ht="15" hidden="false" customHeight="true" outlineLevel="0" collapsed="false">
      <c r="A8" s="1" t="s">
        <v>131</v>
      </c>
      <c r="B8" s="18" t="n">
        <v>366.79</v>
      </c>
      <c r="C8" s="18" t="n">
        <v>417.38</v>
      </c>
      <c r="D8" s="18" t="n">
        <v>373.91</v>
      </c>
      <c r="E8" s="18" t="n">
        <v>176.2</v>
      </c>
      <c r="F8" s="18" t="n">
        <v>165.16</v>
      </c>
      <c r="G8" s="18" t="n">
        <v>105.72</v>
      </c>
      <c r="H8" s="18" t="n">
        <v>81.79</v>
      </c>
      <c r="I8" s="18" t="n">
        <v>188.99</v>
      </c>
      <c r="J8" s="18" t="n">
        <v>52.1</v>
      </c>
      <c r="K8" s="18" t="n">
        <v>92.02</v>
      </c>
      <c r="L8" s="18" t="n">
        <v>304.97</v>
      </c>
      <c r="M8" s="18" t="n">
        <v>212.96</v>
      </c>
      <c r="N8" s="18" t="n">
        <f aca="false">SUM(B8:M8)</f>
        <v>2537.99</v>
      </c>
    </row>
    <row r="9" customFormat="false" ht="15" hidden="false" customHeight="true" outlineLevel="0" collapsed="false">
      <c r="A9" s="1" t="s">
        <v>132</v>
      </c>
      <c r="B9" s="18" t="n">
        <v>32579.62</v>
      </c>
      <c r="C9" s="18" t="n">
        <v>37072.96</v>
      </c>
      <c r="D9" s="18" t="n">
        <v>33211.47</v>
      </c>
      <c r="E9" s="18" t="n">
        <v>15650.87</v>
      </c>
      <c r="F9" s="18" t="n">
        <v>14670.38</v>
      </c>
      <c r="G9" s="18" t="n">
        <v>9390.63</v>
      </c>
      <c r="H9" s="18" t="n">
        <v>7264.53</v>
      </c>
      <c r="I9" s="18" t="n">
        <v>16786.58</v>
      </c>
      <c r="J9" s="18" t="n">
        <v>4627.42</v>
      </c>
      <c r="K9" s="18" t="n">
        <v>8173.06</v>
      </c>
      <c r="L9" s="18" t="n">
        <v>27088.65</v>
      </c>
      <c r="M9" s="18" t="n">
        <v>18915.6</v>
      </c>
      <c r="N9" s="18" t="n">
        <f aca="false">SUM(B9:M9)</f>
        <v>225431.77</v>
      </c>
    </row>
    <row r="10" customFormat="false" ht="15" hidden="false" customHeight="true" outlineLevel="0" collapsed="false">
      <c r="A10" s="1" t="s">
        <v>134</v>
      </c>
      <c r="B10" s="18" t="n">
        <v>583.92</v>
      </c>
      <c r="C10" s="18" t="n">
        <v>664.46</v>
      </c>
      <c r="D10" s="18" t="n">
        <v>595.25</v>
      </c>
      <c r="E10" s="18" t="n">
        <v>280.51</v>
      </c>
      <c r="F10" s="18" t="n">
        <v>262.94</v>
      </c>
      <c r="G10" s="18" t="n">
        <v>168.31</v>
      </c>
      <c r="H10" s="18" t="n">
        <v>130.2</v>
      </c>
      <c r="I10" s="18" t="n">
        <v>300.86</v>
      </c>
      <c r="J10" s="18" t="n">
        <v>82.94</v>
      </c>
      <c r="K10" s="18" t="n">
        <v>146.49</v>
      </c>
      <c r="L10" s="18" t="n">
        <v>485.51</v>
      </c>
      <c r="M10" s="18" t="n">
        <v>339.02</v>
      </c>
      <c r="N10" s="18" t="n">
        <f aca="false">SUM(B10:M10)</f>
        <v>4040.41</v>
      </c>
    </row>
    <row r="11" customFormat="false" ht="15" hidden="false" customHeight="true" outlineLevel="0" collapsed="false">
      <c r="A11" s="1" t="s">
        <v>135</v>
      </c>
      <c r="B11" s="18" t="n">
        <v>74.47</v>
      </c>
      <c r="C11" s="18" t="n">
        <v>84.74</v>
      </c>
      <c r="D11" s="18" t="n">
        <v>75.91</v>
      </c>
      <c r="E11" s="18" t="n">
        <v>35.77</v>
      </c>
      <c r="F11" s="18" t="n">
        <v>33.53</v>
      </c>
      <c r="G11" s="18" t="n">
        <v>21.46</v>
      </c>
      <c r="H11" s="18" t="n">
        <v>16.6</v>
      </c>
      <c r="I11" s="18" t="n">
        <v>38.37</v>
      </c>
      <c r="J11" s="18" t="n">
        <v>10.58</v>
      </c>
      <c r="K11" s="18" t="n">
        <v>18.68</v>
      </c>
      <c r="L11" s="18" t="n">
        <v>61.92</v>
      </c>
      <c r="M11" s="18" t="n">
        <v>43.24</v>
      </c>
      <c r="N11" s="18" t="n">
        <f aca="false">SUM(B11:M11)</f>
        <v>515.27</v>
      </c>
    </row>
    <row r="12" customFormat="false" ht="15" hidden="false" customHeight="true" outlineLevel="0" collapsed="false">
      <c r="A12" s="1" t="s">
        <v>136</v>
      </c>
      <c r="B12" s="18" t="n">
        <v>2847.06</v>
      </c>
      <c r="C12" s="18" t="n">
        <v>3239.73</v>
      </c>
      <c r="D12" s="18" t="n">
        <v>2902.28</v>
      </c>
      <c r="E12" s="18" t="n">
        <v>1367.7</v>
      </c>
      <c r="F12" s="18" t="n">
        <v>1282.01</v>
      </c>
      <c r="G12" s="18" t="n">
        <v>820.63</v>
      </c>
      <c r="H12" s="18" t="n">
        <v>634.83</v>
      </c>
      <c r="I12" s="18" t="n">
        <v>1466.94</v>
      </c>
      <c r="J12" s="18" t="n">
        <v>404.38</v>
      </c>
      <c r="K12" s="18" t="n">
        <v>714.23</v>
      </c>
      <c r="L12" s="18" t="n">
        <v>2367.22</v>
      </c>
      <c r="M12" s="18" t="n">
        <v>1652.99</v>
      </c>
      <c r="N12" s="18" t="n">
        <f aca="false">SUM(B12:M12)</f>
        <v>19700</v>
      </c>
    </row>
    <row r="13" customFormat="false" ht="15" hidden="false" customHeight="true" outlineLevel="0" collapsed="false">
      <c r="A13" s="1" t="s">
        <v>137</v>
      </c>
      <c r="B13" s="18" t="n">
        <v>47.8</v>
      </c>
      <c r="C13" s="18" t="n">
        <v>54.4</v>
      </c>
      <c r="D13" s="18" t="n">
        <v>48.73</v>
      </c>
      <c r="E13" s="18" t="n">
        <v>22.96</v>
      </c>
      <c r="F13" s="18" t="n">
        <v>21.53</v>
      </c>
      <c r="G13" s="18" t="n">
        <v>13.78</v>
      </c>
      <c r="H13" s="18" t="n">
        <v>10.66</v>
      </c>
      <c r="I13" s="18" t="n">
        <v>24.63</v>
      </c>
      <c r="J13" s="18" t="n">
        <v>6.79</v>
      </c>
      <c r="K13" s="18" t="n">
        <v>11.99</v>
      </c>
      <c r="L13" s="18" t="n">
        <v>39.75</v>
      </c>
      <c r="M13" s="18" t="n">
        <v>27.76</v>
      </c>
      <c r="N13" s="18" t="n">
        <f aca="false">SUM(B13:M13)</f>
        <v>330.78</v>
      </c>
    </row>
    <row r="14" customFormat="false" ht="15" hidden="false" customHeight="true" outlineLevel="0" collapsed="false">
      <c r="A14" s="15" t="s">
        <v>140</v>
      </c>
      <c r="B14" s="16" t="n">
        <f aca="false">SUM(B6:B13)</f>
        <v>52046.4</v>
      </c>
      <c r="C14" s="16" t="n">
        <f aca="false">SUM(C6:C13)</f>
        <v>59224.59</v>
      </c>
      <c r="D14" s="16" t="n">
        <f aca="false">SUM(D6:D13)</f>
        <v>53055.81</v>
      </c>
      <c r="E14" s="16" t="n">
        <f aca="false">SUM(E6:E13)</f>
        <v>25002.48</v>
      </c>
      <c r="F14" s="16" t="n">
        <f aca="false">SUM(F6:F13)</f>
        <v>23436.14</v>
      </c>
      <c r="G14" s="16" t="n">
        <f aca="false">SUM(G6:G13)</f>
        <v>15001.66</v>
      </c>
      <c r="H14" s="16" t="n">
        <f aca="false">SUM(H6:H13)</f>
        <v>11605.19</v>
      </c>
      <c r="I14" s="16" t="n">
        <f aca="false">SUM(I6:I13)</f>
        <v>26816.8</v>
      </c>
      <c r="J14" s="16" t="n">
        <f aca="false">SUM(J6:J13)</f>
        <v>7392.38</v>
      </c>
      <c r="K14" s="16" t="n">
        <f aca="false">SUM(K6:K13)</f>
        <v>13056.59</v>
      </c>
      <c r="L14" s="16" t="n">
        <f aca="false">SUM(L6:L13)</f>
        <v>43274.51</v>
      </c>
      <c r="M14" s="16" t="n">
        <f aca="false">SUM(M6:M13)</f>
        <v>30217.95</v>
      </c>
      <c r="N14" s="20" t="n">
        <f aca="false">SUM(B14:M14)</f>
        <v>360130.5</v>
      </c>
    </row>
    <row r="15" customFormat="false" ht="15" hidden="false" customHeight="true" outlineLevel="0" collapsed="false">
      <c r="A15" s="15" t="s">
        <v>141</v>
      </c>
      <c r="B15" s="16" t="n">
        <f aca="false">B5-B14</f>
        <v>1423.6</v>
      </c>
      <c r="C15" s="16" t="n">
        <f aca="false">C5-C14</f>
        <v>1619.93</v>
      </c>
      <c r="D15" s="16" t="n">
        <f aca="false">D5-D14</f>
        <v>1451.19</v>
      </c>
      <c r="E15" s="16" t="n">
        <f aca="false">E5-E14</f>
        <v>683.880000000001</v>
      </c>
      <c r="F15" s="16" t="n">
        <f aca="false">F5-F14</f>
        <v>641.029999999999</v>
      </c>
      <c r="G15" s="16" t="n">
        <f aca="false">G5-G14</f>
        <v>410.33</v>
      </c>
      <c r="H15" s="16" t="n">
        <f aca="false">H5-H14</f>
        <v>317.439999999999</v>
      </c>
      <c r="I15" s="16" t="n">
        <f aca="false">I5-I14</f>
        <v>733.509999999998</v>
      </c>
      <c r="J15" s="16" t="n">
        <f aca="false">J5-J14</f>
        <v>202.19</v>
      </c>
      <c r="K15" s="16" t="n">
        <f aca="false">K5-K14</f>
        <v>357.110000000001</v>
      </c>
      <c r="L15" s="16" t="n">
        <f aca="false">L5-L14</f>
        <v>1183.65</v>
      </c>
      <c r="M15" s="16" t="n">
        <f aca="false">M5-M14</f>
        <v>826.52</v>
      </c>
      <c r="N15" s="20" t="n">
        <f aca="false">SUM(B15:M15)</f>
        <v>9850.38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161</v>
      </c>
    </row>
    <row r="2" customFormat="false" ht="15" hidden="false" customHeight="true" outlineLevel="0" collapsed="false">
      <c r="A2" s="13" t="s">
        <v>162</v>
      </c>
    </row>
    <row r="3" customFormat="false" ht="49.5" hidden="false" customHeight="true" outlineLevel="0" collapsed="false">
      <c r="A3" s="21" t="s">
        <v>163</v>
      </c>
    </row>
    <row r="4" customFormat="false" ht="26.25" hidden="false" customHeight="true" outlineLevel="0" collapsed="false">
      <c r="A4" s="14" t="s">
        <v>144</v>
      </c>
      <c r="B4" s="14" t="s">
        <v>145</v>
      </c>
      <c r="C4" s="14" t="s">
        <v>146</v>
      </c>
      <c r="D4" s="14" t="s">
        <v>147</v>
      </c>
      <c r="E4" s="14" t="s">
        <v>148</v>
      </c>
      <c r="F4" s="14" t="s">
        <v>149</v>
      </c>
      <c r="G4" s="14" t="s">
        <v>150</v>
      </c>
      <c r="H4" s="14" t="s">
        <v>151</v>
      </c>
      <c r="I4" s="14" t="s">
        <v>152</v>
      </c>
      <c r="J4" s="14" t="s">
        <v>153</v>
      </c>
      <c r="K4" s="14" t="s">
        <v>154</v>
      </c>
      <c r="L4" s="14" t="s">
        <v>155</v>
      </c>
      <c r="M4" s="14" t="s">
        <v>156</v>
      </c>
      <c r="N4" s="14" t="s">
        <v>157</v>
      </c>
    </row>
    <row r="5" customFormat="false" ht="15" hidden="false" customHeight="true" outlineLevel="0" collapsed="false">
      <c r="A5" s="19" t="s">
        <v>93</v>
      </c>
      <c r="B5" s="18" t="n">
        <v>10914.69</v>
      </c>
      <c r="C5" s="18" t="n">
        <v>10914.69</v>
      </c>
      <c r="D5" s="18" t="n">
        <v>10914.69</v>
      </c>
      <c r="E5" s="18" t="n">
        <v>10914.69</v>
      </c>
      <c r="F5" s="18" t="n">
        <v>10914.69</v>
      </c>
      <c r="G5" s="18" t="n">
        <v>10914.69</v>
      </c>
      <c r="H5" s="18" t="n">
        <v>10914.69</v>
      </c>
      <c r="I5" s="18" t="n">
        <v>10914.69</v>
      </c>
      <c r="J5" s="18" t="n">
        <v>10914.69</v>
      </c>
      <c r="K5" s="18" t="n">
        <v>10914.69</v>
      </c>
      <c r="L5" s="18" t="n">
        <v>10914.69</v>
      </c>
      <c r="M5" s="18" t="n">
        <v>10914.69</v>
      </c>
      <c r="N5" s="20" t="n">
        <f aca="false">SUM(B5:M5)</f>
        <v>130976.28</v>
      </c>
    </row>
    <row r="6" customFormat="false" ht="15" hidden="false" customHeight="true" outlineLevel="0" collapsed="false">
      <c r="A6" s="1" t="s">
        <v>125</v>
      </c>
      <c r="B6" s="18" t="n">
        <v>17.95</v>
      </c>
      <c r="C6" s="18" t="n">
        <v>17.95</v>
      </c>
      <c r="D6" s="18" t="n">
        <v>17.95</v>
      </c>
      <c r="E6" s="18" t="n">
        <v>17.95</v>
      </c>
      <c r="F6" s="18" t="n">
        <v>17.95</v>
      </c>
      <c r="G6" s="18" t="n">
        <v>17.95</v>
      </c>
      <c r="H6" s="18" t="n">
        <v>17.95</v>
      </c>
      <c r="I6" s="18" t="n">
        <v>17.95</v>
      </c>
      <c r="J6" s="18" t="n">
        <v>17.95</v>
      </c>
      <c r="K6" s="18" t="n">
        <v>17.95</v>
      </c>
      <c r="L6" s="18" t="n">
        <v>17.95</v>
      </c>
      <c r="M6" s="18" t="n">
        <v>17.95</v>
      </c>
      <c r="N6" s="18" t="n">
        <f aca="false">SUM(B6:M6)</f>
        <v>215.4</v>
      </c>
    </row>
    <row r="7" customFormat="false" ht="15" hidden="false" customHeight="true" outlineLevel="0" collapsed="false">
      <c r="A7" s="1" t="s">
        <v>129</v>
      </c>
      <c r="B7" s="18" t="n">
        <v>250.59</v>
      </c>
      <c r="C7" s="18" t="n">
        <v>250.59</v>
      </c>
      <c r="D7" s="18" t="n">
        <v>250.59</v>
      </c>
      <c r="E7" s="18" t="n">
        <v>250.59</v>
      </c>
      <c r="F7" s="18" t="n">
        <v>250.59</v>
      </c>
      <c r="G7" s="18" t="n">
        <v>250.59</v>
      </c>
      <c r="H7" s="18" t="n">
        <v>250.59</v>
      </c>
      <c r="I7" s="18" t="n">
        <v>250.59</v>
      </c>
      <c r="J7" s="18" t="n">
        <v>250.59</v>
      </c>
      <c r="K7" s="18" t="n">
        <v>250.59</v>
      </c>
      <c r="L7" s="18" t="n">
        <v>250.59</v>
      </c>
      <c r="M7" s="18" t="n">
        <v>250.59</v>
      </c>
      <c r="N7" s="18" t="n">
        <f aca="false">SUM(B7:M7)</f>
        <v>3007.08</v>
      </c>
    </row>
    <row r="8" customFormat="false" ht="15" hidden="false" customHeight="true" outlineLevel="0" collapsed="false">
      <c r="A8" s="1" t="s">
        <v>131</v>
      </c>
      <c r="B8" s="18" t="n">
        <v>61.25</v>
      </c>
      <c r="C8" s="18" t="n">
        <v>61.25</v>
      </c>
      <c r="D8" s="18" t="n">
        <v>61.25</v>
      </c>
      <c r="E8" s="18" t="n">
        <v>61.25</v>
      </c>
      <c r="F8" s="18" t="n">
        <v>61.25</v>
      </c>
      <c r="G8" s="18" t="n">
        <v>61.25</v>
      </c>
      <c r="H8" s="18" t="n">
        <v>61.25</v>
      </c>
      <c r="I8" s="18" t="n">
        <v>61.25</v>
      </c>
      <c r="J8" s="18" t="n">
        <v>61.25</v>
      </c>
      <c r="K8" s="18" t="n">
        <v>61.25</v>
      </c>
      <c r="L8" s="18" t="n">
        <v>61.25</v>
      </c>
      <c r="M8" s="18" t="n">
        <v>61.25</v>
      </c>
      <c r="N8" s="18" t="n">
        <f aca="false">SUM(B8:M8)</f>
        <v>735</v>
      </c>
    </row>
    <row r="9" customFormat="false" ht="15" hidden="false" customHeight="true" outlineLevel="0" collapsed="false">
      <c r="A9" s="1" t="s">
        <v>132</v>
      </c>
      <c r="B9" s="18" t="n">
        <v>739.46</v>
      </c>
      <c r="C9" s="18" t="n">
        <v>739.46</v>
      </c>
      <c r="D9" s="18" t="n">
        <v>739.46</v>
      </c>
      <c r="E9" s="18" t="n">
        <v>739.46</v>
      </c>
      <c r="F9" s="18" t="n">
        <v>739.46</v>
      </c>
      <c r="G9" s="18" t="n">
        <v>739.46</v>
      </c>
      <c r="H9" s="18" t="n">
        <v>739.46</v>
      </c>
      <c r="I9" s="18" t="n">
        <v>739.46</v>
      </c>
      <c r="J9" s="18" t="n">
        <v>739.46</v>
      </c>
      <c r="K9" s="18" t="n">
        <v>739.46</v>
      </c>
      <c r="L9" s="18" t="n">
        <v>739.46</v>
      </c>
      <c r="M9" s="18" t="n">
        <v>739.46</v>
      </c>
      <c r="N9" s="18" t="n">
        <f aca="false">SUM(B9:M9)</f>
        <v>8873.52</v>
      </c>
    </row>
    <row r="10" customFormat="false" ht="15" hidden="false" customHeight="true" outlineLevel="0" collapsed="false">
      <c r="A10" s="1" t="s">
        <v>134</v>
      </c>
      <c r="B10" s="18" t="n">
        <v>112.73</v>
      </c>
      <c r="C10" s="18" t="n">
        <v>112.73</v>
      </c>
      <c r="D10" s="18" t="n">
        <v>112.73</v>
      </c>
      <c r="E10" s="18" t="n">
        <v>112.73</v>
      </c>
      <c r="F10" s="18" t="n">
        <v>112.73</v>
      </c>
      <c r="G10" s="18" t="n">
        <v>112.73</v>
      </c>
      <c r="H10" s="18" t="n">
        <v>112.73</v>
      </c>
      <c r="I10" s="18" t="n">
        <v>112.73</v>
      </c>
      <c r="J10" s="18" t="n">
        <v>112.73</v>
      </c>
      <c r="K10" s="18" t="n">
        <v>112.73</v>
      </c>
      <c r="L10" s="18" t="n">
        <v>112.73</v>
      </c>
      <c r="M10" s="18" t="n">
        <v>112.73</v>
      </c>
      <c r="N10" s="18" t="n">
        <f aca="false">SUM(B10:M10)</f>
        <v>1352.76</v>
      </c>
    </row>
    <row r="11" customFormat="false" ht="15" hidden="false" customHeight="true" outlineLevel="0" collapsed="false">
      <c r="A11" s="1" t="s">
        <v>135</v>
      </c>
      <c r="B11" s="18" t="n">
        <v>8703.44</v>
      </c>
      <c r="C11" s="18" t="n">
        <v>8703.44</v>
      </c>
      <c r="D11" s="18" t="n">
        <v>8703.44</v>
      </c>
      <c r="E11" s="18" t="n">
        <v>8703.44</v>
      </c>
      <c r="F11" s="18" t="n">
        <v>8703.44</v>
      </c>
      <c r="G11" s="18" t="n">
        <v>8703.44</v>
      </c>
      <c r="H11" s="18" t="n">
        <v>8703.44</v>
      </c>
      <c r="I11" s="18" t="n">
        <v>8703.44</v>
      </c>
      <c r="J11" s="18" t="n">
        <v>8703.44</v>
      </c>
      <c r="K11" s="18" t="n">
        <v>8703.44</v>
      </c>
      <c r="L11" s="18" t="n">
        <v>8703.44</v>
      </c>
      <c r="M11" s="18" t="n">
        <v>8703.44</v>
      </c>
      <c r="N11" s="18" t="n">
        <f aca="false">SUM(B11:M11)</f>
        <v>104441.28</v>
      </c>
    </row>
    <row r="12" customFormat="false" ht="15" hidden="false" customHeight="true" outlineLevel="0" collapsed="false">
      <c r="A12" s="1" t="s">
        <v>136</v>
      </c>
      <c r="B12" s="18" t="n">
        <v>1458.33</v>
      </c>
      <c r="C12" s="18" t="n">
        <v>1458.33</v>
      </c>
      <c r="D12" s="18" t="n">
        <v>1458.33</v>
      </c>
      <c r="E12" s="18" t="n">
        <v>1458.33</v>
      </c>
      <c r="F12" s="18" t="n">
        <v>1458.33</v>
      </c>
      <c r="G12" s="18" t="n">
        <v>1458.33</v>
      </c>
      <c r="H12" s="18" t="n">
        <v>1458.33</v>
      </c>
      <c r="I12" s="18" t="n">
        <v>1458.33</v>
      </c>
      <c r="J12" s="18" t="n">
        <v>1458.33</v>
      </c>
      <c r="K12" s="18" t="n">
        <v>1458.33</v>
      </c>
      <c r="L12" s="18" t="n">
        <v>1458.33</v>
      </c>
      <c r="M12" s="18" t="n">
        <v>1458.33</v>
      </c>
      <c r="N12" s="18" t="n">
        <f aca="false">SUM(B12:M12)</f>
        <v>17499.96</v>
      </c>
    </row>
    <row r="13" customFormat="false" ht="15" hidden="false" customHeight="true" outlineLevel="0" collapsed="false">
      <c r="A13" s="1" t="s">
        <v>137</v>
      </c>
      <c r="B13" s="18" t="n">
        <v>126.66</v>
      </c>
      <c r="C13" s="18" t="n">
        <v>126.66</v>
      </c>
      <c r="D13" s="18" t="n">
        <v>126.66</v>
      </c>
      <c r="E13" s="18" t="n">
        <v>126.66</v>
      </c>
      <c r="F13" s="18" t="n">
        <v>126.66</v>
      </c>
      <c r="G13" s="18" t="n">
        <v>126.66</v>
      </c>
      <c r="H13" s="18" t="n">
        <v>126.66</v>
      </c>
      <c r="I13" s="18" t="n">
        <v>126.66</v>
      </c>
      <c r="J13" s="18" t="n">
        <v>126.66</v>
      </c>
      <c r="K13" s="18" t="n">
        <v>126.66</v>
      </c>
      <c r="L13" s="18" t="n">
        <v>126.66</v>
      </c>
      <c r="M13" s="18" t="n">
        <v>126.66</v>
      </c>
      <c r="N13" s="18" t="n">
        <f aca="false">SUM(B13:M13)</f>
        <v>1519.92</v>
      </c>
    </row>
    <row r="14" customFormat="false" ht="15" hidden="false" customHeight="true" outlineLevel="0" collapsed="false">
      <c r="A14" s="1" t="s">
        <v>138</v>
      </c>
      <c r="B14" s="18" t="n">
        <v>19.22</v>
      </c>
      <c r="C14" s="18" t="n">
        <v>19.22</v>
      </c>
      <c r="D14" s="18" t="n">
        <v>19.22</v>
      </c>
      <c r="E14" s="18" t="n">
        <v>19.22</v>
      </c>
      <c r="F14" s="18" t="n">
        <v>19.22</v>
      </c>
      <c r="G14" s="18" t="n">
        <v>19.22</v>
      </c>
      <c r="H14" s="18" t="n">
        <v>19.22</v>
      </c>
      <c r="I14" s="18" t="n">
        <v>19.22</v>
      </c>
      <c r="J14" s="18" t="n">
        <v>19.22</v>
      </c>
      <c r="K14" s="18" t="n">
        <v>19.22</v>
      </c>
      <c r="L14" s="18" t="n">
        <v>19.22</v>
      </c>
      <c r="M14" s="18" t="n">
        <v>19.22</v>
      </c>
      <c r="N14" s="18" t="n">
        <f aca="false">SUM(B14:M14)</f>
        <v>230.64</v>
      </c>
    </row>
    <row r="15" customFormat="false" ht="15" hidden="false" customHeight="true" outlineLevel="0" collapsed="false">
      <c r="A15" s="15" t="s">
        <v>140</v>
      </c>
      <c r="B15" s="16" t="n">
        <f aca="false">SUM(B6:B14)</f>
        <v>11489.63</v>
      </c>
      <c r="C15" s="16" t="n">
        <f aca="false">SUM(C6:C14)</f>
        <v>11489.63</v>
      </c>
      <c r="D15" s="16" t="n">
        <f aca="false">SUM(D6:D14)</f>
        <v>11489.63</v>
      </c>
      <c r="E15" s="16" t="n">
        <f aca="false">SUM(E6:E14)</f>
        <v>11489.63</v>
      </c>
      <c r="F15" s="16" t="n">
        <f aca="false">SUM(F6:F14)</f>
        <v>11489.63</v>
      </c>
      <c r="G15" s="16" t="n">
        <f aca="false">SUM(G6:G14)</f>
        <v>11489.63</v>
      </c>
      <c r="H15" s="16" t="n">
        <f aca="false">SUM(H6:H14)</f>
        <v>11489.63</v>
      </c>
      <c r="I15" s="16" t="n">
        <f aca="false">SUM(I6:I14)</f>
        <v>11489.63</v>
      </c>
      <c r="J15" s="16" t="n">
        <f aca="false">SUM(J6:J14)</f>
        <v>11489.63</v>
      </c>
      <c r="K15" s="16" t="n">
        <f aca="false">SUM(K6:K14)</f>
        <v>11489.63</v>
      </c>
      <c r="L15" s="16" t="n">
        <f aca="false">SUM(L6:L14)</f>
        <v>11489.63</v>
      </c>
      <c r="M15" s="16" t="n">
        <f aca="false">SUM(M6:M14)</f>
        <v>11489.63</v>
      </c>
      <c r="N15" s="20" t="n">
        <f aca="false">SUM(B15:M15)</f>
        <v>137875.56</v>
      </c>
    </row>
    <row r="16" customFormat="false" ht="15" hidden="false" customHeight="true" outlineLevel="0" collapsed="false">
      <c r="A16" s="15" t="s">
        <v>141</v>
      </c>
      <c r="B16" s="16" t="n">
        <f aca="false">B5-B15</f>
        <v>-574.940000000001</v>
      </c>
      <c r="C16" s="16" t="n">
        <f aca="false">C5-C15</f>
        <v>-574.940000000001</v>
      </c>
      <c r="D16" s="16" t="n">
        <f aca="false">D5-D15</f>
        <v>-574.940000000001</v>
      </c>
      <c r="E16" s="16" t="n">
        <f aca="false">E5-E15</f>
        <v>-574.940000000001</v>
      </c>
      <c r="F16" s="16" t="n">
        <f aca="false">F5-F15</f>
        <v>-574.940000000001</v>
      </c>
      <c r="G16" s="16" t="n">
        <f aca="false">G5-G15</f>
        <v>-574.940000000001</v>
      </c>
      <c r="H16" s="16" t="n">
        <f aca="false">H5-H15</f>
        <v>-574.940000000001</v>
      </c>
      <c r="I16" s="16" t="n">
        <f aca="false">I5-I15</f>
        <v>-574.940000000001</v>
      </c>
      <c r="J16" s="16" t="n">
        <f aca="false">J5-J15</f>
        <v>-574.940000000001</v>
      </c>
      <c r="K16" s="16" t="n">
        <f aca="false">K5-K15</f>
        <v>-574.940000000001</v>
      </c>
      <c r="L16" s="16" t="n">
        <f aca="false">L5-L15</f>
        <v>-574.940000000001</v>
      </c>
      <c r="M16" s="16" t="n">
        <f aca="false">M5-M15</f>
        <v>-574.940000000001</v>
      </c>
      <c r="N16" s="20" t="n">
        <f aca="false">SUM(B16:M16)</f>
        <v>-6899.28000000001</v>
      </c>
    </row>
    <row r="18" customFormat="false" ht="60" hidden="false" customHeight="true" outlineLevel="0" collapsed="false">
      <c r="A18" s="8"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165</v>
      </c>
    </row>
    <row r="2" customFormat="false" ht="30" hidden="false" customHeight="true" outlineLevel="0" collapsed="false">
      <c r="A2" s="22" t="s">
        <v>166</v>
      </c>
    </row>
    <row r="4" customFormat="false" ht="27.75" hidden="false" customHeight="true" outlineLevel="0" collapsed="false">
      <c r="A4" s="23" t="s">
        <v>167</v>
      </c>
      <c r="B4" s="23" t="s">
        <v>168</v>
      </c>
      <c r="C4" s="23" t="s">
        <v>169</v>
      </c>
      <c r="D4" s="23" t="s">
        <v>170</v>
      </c>
      <c r="E4" s="23" t="s">
        <v>171</v>
      </c>
      <c r="F4" s="23" t="s">
        <v>172</v>
      </c>
      <c r="G4" s="23" t="s">
        <v>173</v>
      </c>
    </row>
    <row r="5" customFormat="false" ht="15" hidden="false" customHeight="true" outlineLevel="0" collapsed="false">
      <c r="A5" s="24" t="s">
        <v>174</v>
      </c>
      <c r="B5" s="18" t="n">
        <v>324.04</v>
      </c>
      <c r="C5" s="18" t="n">
        <v>17285.65</v>
      </c>
      <c r="D5" s="18" t="n">
        <v>15856.16</v>
      </c>
      <c r="E5" s="18" t="n">
        <f aca="false">C5-D5</f>
        <v>1429.49</v>
      </c>
      <c r="F5" s="18" t="n">
        <f aca="false">B5+E5</f>
        <v>1753.53</v>
      </c>
      <c r="G5" s="25" t="s">
        <v>175</v>
      </c>
    </row>
    <row r="6" customFormat="false" ht="15" hidden="false" customHeight="true" outlineLevel="0" collapsed="false">
      <c r="A6" s="24" t="s">
        <v>176</v>
      </c>
      <c r="B6" s="18" t="n">
        <f aca="false">F5</f>
        <v>1753.53</v>
      </c>
      <c r="C6" s="18" t="n">
        <v>76176.24</v>
      </c>
      <c r="D6" s="18" t="n">
        <v>77200.51</v>
      </c>
      <c r="E6" s="18" t="n">
        <f aca="false">C6-D6</f>
        <v>-1024.26999999999</v>
      </c>
      <c r="F6" s="18" t="n">
        <f aca="false">B6+E6</f>
        <v>729.260000000012</v>
      </c>
      <c r="G6" s="25" t="s">
        <v>177</v>
      </c>
    </row>
    <row r="7" customFormat="false" ht="15" hidden="false" customHeight="true" outlineLevel="0" collapsed="false">
      <c r="A7" s="24" t="s">
        <v>178</v>
      </c>
      <c r="B7" s="18" t="n">
        <f aca="false">F6</f>
        <v>729.260000000012</v>
      </c>
      <c r="C7" s="18" t="n">
        <v>55123.29</v>
      </c>
      <c r="D7" s="18" t="n">
        <v>55659.73</v>
      </c>
      <c r="E7" s="18" t="n">
        <f aca="false">C7-D7</f>
        <v>-536.440000000002</v>
      </c>
      <c r="F7" s="18" t="n">
        <f aca="false">B7+E7</f>
        <v>192.82000000001</v>
      </c>
      <c r="G7" s="25" t="s">
        <v>179</v>
      </c>
    </row>
    <row r="9" customFormat="false" ht="34.5" hidden="false" customHeight="true" outlineLevel="0" collapsed="false">
      <c r="A9" s="26" t="s">
        <v>180</v>
      </c>
      <c r="B9" s="26"/>
      <c r="C9" s="26"/>
      <c r="D9" s="26"/>
      <c r="E9" s="26"/>
      <c r="F9" s="26"/>
      <c r="G9" s="26"/>
    </row>
    <row r="10" customFormat="false" ht="15" hidden="false" customHeight="true" outlineLevel="0" collapsed="false">
      <c r="A10" s="26"/>
      <c r="B10" s="26"/>
      <c r="C10" s="26"/>
      <c r="D10" s="26"/>
      <c r="E10" s="26"/>
      <c r="F10" s="26"/>
      <c r="G10" s="26"/>
    </row>
  </sheetData>
  <mergeCells count="1">
    <mergeCell ref="A9: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181</v>
      </c>
    </row>
    <row r="2" customFormat="false" ht="15" hidden="false" customHeight="true" outlineLevel="0" collapsed="false">
      <c r="A2" s="13" t="s">
        <v>182</v>
      </c>
    </row>
    <row r="4" customFormat="false" ht="26.25" hidden="false" customHeight="true" outlineLevel="0" collapsed="false">
      <c r="A4" s="14" t="s">
        <v>167</v>
      </c>
      <c r="B4" s="14" t="s">
        <v>168</v>
      </c>
      <c r="C4" s="14" t="s">
        <v>169</v>
      </c>
      <c r="D4" s="14" t="s">
        <v>170</v>
      </c>
      <c r="E4" s="14" t="s">
        <v>171</v>
      </c>
      <c r="F4" s="14" t="s">
        <v>172</v>
      </c>
      <c r="G4" s="14" t="s">
        <v>173</v>
      </c>
    </row>
    <row r="5" customFormat="false" ht="15" hidden="false" customHeight="true" outlineLevel="0" collapsed="false">
      <c r="A5" s="24" t="s">
        <v>145</v>
      </c>
      <c r="B5" s="18" t="n">
        <v>192.82</v>
      </c>
      <c r="C5" s="18" t="n">
        <v>33195.53</v>
      </c>
      <c r="D5" s="18" t="n">
        <v>24982.18</v>
      </c>
      <c r="E5" s="18" t="n">
        <f aca="false">C5-D5</f>
        <v>8213.35</v>
      </c>
      <c r="F5" s="18" t="n">
        <v>8406.17</v>
      </c>
      <c r="G5" s="25" t="s">
        <v>183</v>
      </c>
    </row>
    <row r="6" customFormat="false" ht="15" hidden="false" customHeight="true" outlineLevel="0" collapsed="false">
      <c r="A6" s="24" t="s">
        <v>146</v>
      </c>
      <c r="B6" s="18" t="n">
        <v>8406.17</v>
      </c>
      <c r="C6" s="27" t="n">
        <v>28949.79</v>
      </c>
      <c r="D6" s="27" t="n">
        <v>36773.94</v>
      </c>
      <c r="E6" s="18" t="n">
        <f aca="false">C6-D6</f>
        <v>-7824.15</v>
      </c>
      <c r="F6" s="18" t="n">
        <v>582.02</v>
      </c>
      <c r="G6" s="25" t="s">
        <v>184</v>
      </c>
    </row>
    <row r="7" customFormat="false" ht="15" hidden="false" customHeight="true" outlineLevel="0" collapsed="false">
      <c r="A7" s="24" t="s">
        <v>147</v>
      </c>
      <c r="B7" s="18" t="n">
        <v>582.02</v>
      </c>
      <c r="C7" s="18" t="n">
        <v>36110</v>
      </c>
      <c r="D7" s="18" t="n">
        <v>18088.77</v>
      </c>
      <c r="E7" s="18" t="n">
        <f aca="false">C7-D7</f>
        <v>18021.23</v>
      </c>
      <c r="F7" s="18" t="n">
        <v>18603.25</v>
      </c>
      <c r="G7" s="25" t="s">
        <v>185</v>
      </c>
    </row>
    <row r="8" customFormat="false" ht="15" hidden="false" customHeight="true" outlineLevel="0" collapsed="false">
      <c r="A8" s="24" t="s">
        <v>148</v>
      </c>
      <c r="B8" s="18" t="n">
        <v>18603.25</v>
      </c>
      <c r="C8" s="18" t="n">
        <v>90978.23</v>
      </c>
      <c r="D8" s="18" t="n">
        <v>97180.4</v>
      </c>
      <c r="E8" s="18" t="n">
        <f aca="false">C8-D8</f>
        <v>-6202.17</v>
      </c>
      <c r="F8" s="18" t="n">
        <v>12401.08</v>
      </c>
      <c r="G8" s="25" t="s">
        <v>186</v>
      </c>
    </row>
    <row r="9" customFormat="false" ht="15" hidden="false" customHeight="true" outlineLevel="0" collapsed="false">
      <c r="A9" s="24" t="s">
        <v>149</v>
      </c>
      <c r="B9" s="18" t="n">
        <v>12401.08</v>
      </c>
      <c r="C9" s="18" t="n">
        <v>126460.06</v>
      </c>
      <c r="D9" s="18" t="n">
        <v>138358.03</v>
      </c>
      <c r="E9" s="18" t="n">
        <f aca="false">C9-D9</f>
        <v>-11897.97</v>
      </c>
      <c r="F9" s="18" t="n">
        <v>503.11</v>
      </c>
      <c r="G9" s="25" t="s">
        <v>187</v>
      </c>
    </row>
    <row r="10" customFormat="false" ht="15" hidden="false" customHeight="true" outlineLevel="0" collapsed="false">
      <c r="A10" s="24" t="s">
        <v>150</v>
      </c>
      <c r="B10" s="18" t="n">
        <v>503.11</v>
      </c>
      <c r="C10" s="18" t="n">
        <v>93188.04</v>
      </c>
      <c r="D10" s="18" t="n">
        <v>90137.39</v>
      </c>
      <c r="E10" s="18" t="n">
        <f aca="false">C10-D10</f>
        <v>3050.64999999999</v>
      </c>
      <c r="F10" s="18" t="n">
        <v>3553.76</v>
      </c>
      <c r="G10" s="25" t="s">
        <v>188</v>
      </c>
    </row>
    <row r="11" customFormat="false" ht="15" hidden="false" customHeight="true" outlineLevel="0" collapsed="false">
      <c r="A11" s="24" t="s">
        <v>151</v>
      </c>
      <c r="B11" s="18" t="n">
        <v>3553.76</v>
      </c>
      <c r="C11" s="18" t="n">
        <v>125576.78</v>
      </c>
      <c r="D11" s="18" t="n">
        <v>98074.5</v>
      </c>
      <c r="E11" s="18" t="n">
        <f aca="false">C11-D11</f>
        <v>27502.28</v>
      </c>
      <c r="F11" s="18" t="n">
        <v>31056.04</v>
      </c>
      <c r="G11" s="25" t="s">
        <v>189</v>
      </c>
    </row>
    <row r="12" customFormat="false" ht="15" hidden="false" customHeight="true" outlineLevel="0" collapsed="false">
      <c r="A12" s="24" t="s">
        <v>152</v>
      </c>
      <c r="B12" s="18" t="n">
        <v>31056.04</v>
      </c>
      <c r="C12" s="18" t="n">
        <v>62042.22</v>
      </c>
      <c r="D12" s="18" t="n">
        <v>88975.34</v>
      </c>
      <c r="E12" s="18" t="n">
        <f aca="false">C12-D12</f>
        <v>-26933.12</v>
      </c>
      <c r="F12" s="18" t="n">
        <v>4122.92</v>
      </c>
      <c r="G12" s="25" t="s">
        <v>190</v>
      </c>
    </row>
    <row r="13" customFormat="false" ht="15" hidden="false" customHeight="true" outlineLevel="0" collapsed="false">
      <c r="A13" s="24" t="s">
        <v>153</v>
      </c>
      <c r="B13" s="18" t="n">
        <v>4122.92</v>
      </c>
      <c r="C13" s="18" t="n">
        <v>125305.86</v>
      </c>
      <c r="D13" s="18" t="n">
        <v>117280.54</v>
      </c>
      <c r="E13" s="18" t="n">
        <f aca="false">C13-D13</f>
        <v>8025.32000000001</v>
      </c>
      <c r="F13" s="18" t="n">
        <v>12148.24</v>
      </c>
      <c r="G13" s="25" t="s">
        <v>191</v>
      </c>
    </row>
    <row r="14" customFormat="false" ht="15" hidden="false" customHeight="true" outlineLevel="0" collapsed="false">
      <c r="A14" s="24" t="s">
        <v>154</v>
      </c>
      <c r="B14" s="18" t="n">
        <v>12148.24</v>
      </c>
      <c r="C14" s="18" t="n">
        <v>48705.65</v>
      </c>
      <c r="D14" s="18" t="n">
        <v>53711.03</v>
      </c>
      <c r="E14" s="18" t="n">
        <f aca="false">C14-D14</f>
        <v>-5005.38</v>
      </c>
      <c r="F14" s="18" t="n">
        <v>7142.86</v>
      </c>
      <c r="G14" s="25" t="s">
        <v>192</v>
      </c>
    </row>
    <row r="15" customFormat="false" ht="15" hidden="false" customHeight="true" outlineLevel="0" collapsed="false">
      <c r="A15" s="24" t="s">
        <v>155</v>
      </c>
      <c r="B15" s="18" t="n">
        <v>7142.86</v>
      </c>
      <c r="C15" s="18" t="n">
        <v>31367.72</v>
      </c>
      <c r="D15" s="18" t="n">
        <v>32303.98</v>
      </c>
      <c r="E15" s="18" t="n">
        <f aca="false">C15-D15</f>
        <v>-936.259999999998</v>
      </c>
      <c r="F15" s="18" t="n">
        <v>6206.6</v>
      </c>
      <c r="G15" s="25" t="s">
        <v>193</v>
      </c>
    </row>
    <row r="16" customFormat="false" ht="15" hidden="false" customHeight="true" outlineLevel="0" collapsed="false">
      <c r="A16" s="24" t="s">
        <v>156</v>
      </c>
      <c r="B16" s="18" t="n">
        <v>6206.6</v>
      </c>
      <c r="C16" s="27" t="n">
        <v>93874.24</v>
      </c>
      <c r="D16" s="27" t="n">
        <v>92689.04</v>
      </c>
      <c r="E16" s="18" t="n">
        <f aca="false">C16-D16</f>
        <v>1185.20000000001</v>
      </c>
      <c r="F16" s="18" t="n">
        <v>7391.8</v>
      </c>
      <c r="G16" s="25" t="s">
        <v>194</v>
      </c>
    </row>
    <row r="18" customFormat="false" ht="45" hidden="false" customHeight="true" outlineLevel="0" collapsed="false">
      <c r="A18" s="28" t="s">
        <v>195</v>
      </c>
      <c r="B18" s="28"/>
      <c r="C18" s="28"/>
      <c r="D18" s="28"/>
      <c r="E18" s="28"/>
      <c r="F18" s="28"/>
      <c r="G18" s="28"/>
    </row>
    <row r="19" customFormat="false" ht="15" hidden="false" customHeight="true" outlineLevel="0" collapsed="false">
      <c r="A19" s="28"/>
      <c r="B19" s="28"/>
      <c r="C19" s="28"/>
      <c r="D19" s="28"/>
      <c r="E19" s="28"/>
      <c r="F19" s="28"/>
      <c r="G19" s="28"/>
    </row>
  </sheetData>
  <mergeCells count="1">
    <mergeCell ref="A18: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196</v>
      </c>
    </row>
    <row r="2" customFormat="false" ht="15" hidden="false" customHeight="true" outlineLevel="0" collapsed="false">
      <c r="A2" s="13" t="s">
        <v>197</v>
      </c>
    </row>
    <row r="4" customFormat="false" ht="26.25" hidden="false" customHeight="true" outlineLevel="0" collapsed="false">
      <c r="A4" s="14" t="s">
        <v>167</v>
      </c>
      <c r="B4" s="14" t="s">
        <v>168</v>
      </c>
      <c r="C4" s="14" t="s">
        <v>169</v>
      </c>
      <c r="D4" s="14" t="s">
        <v>170</v>
      </c>
      <c r="E4" s="14" t="s">
        <v>171</v>
      </c>
      <c r="F4" s="14" t="s">
        <v>172</v>
      </c>
      <c r="G4" s="14" t="s">
        <v>173</v>
      </c>
    </row>
    <row r="5" customFormat="false" ht="15" hidden="false" customHeight="true" outlineLevel="0" collapsed="false">
      <c r="A5" s="24" t="s">
        <v>145</v>
      </c>
      <c r="B5" s="24" t="s">
        <v>198</v>
      </c>
      <c r="C5" s="24" t="s">
        <v>198</v>
      </c>
      <c r="D5" s="24" t="s">
        <v>198</v>
      </c>
      <c r="E5" s="24" t="s">
        <v>198</v>
      </c>
      <c r="F5" s="18" t="n">
        <v>693</v>
      </c>
      <c r="G5" s="25" t="s">
        <v>199</v>
      </c>
    </row>
    <row r="6" customFormat="false" ht="15" hidden="false" customHeight="true" outlineLevel="0" collapsed="false">
      <c r="A6" s="24" t="s">
        <v>146</v>
      </c>
      <c r="B6" s="18" t="n">
        <v>693</v>
      </c>
      <c r="C6" s="18" t="n">
        <v>25807.71</v>
      </c>
      <c r="D6" s="18" t="n">
        <v>21375.56</v>
      </c>
      <c r="E6" s="18" t="n">
        <f aca="false">C6-D6</f>
        <v>4432.15</v>
      </c>
      <c r="F6" s="18" t="n">
        <v>5125.15</v>
      </c>
      <c r="G6" s="25" t="s">
        <v>200</v>
      </c>
    </row>
    <row r="7" customFormat="false" ht="15" hidden="false" customHeight="true" outlineLevel="0" collapsed="false">
      <c r="A7" s="24" t="s">
        <v>147</v>
      </c>
      <c r="B7" s="18" t="n">
        <v>5125.15</v>
      </c>
      <c r="C7" s="18" t="n">
        <v>48804.03</v>
      </c>
      <c r="D7" s="18" t="n">
        <v>46427.94</v>
      </c>
      <c r="E7" s="18" t="n">
        <f aca="false">C7-D7</f>
        <v>2376.09</v>
      </c>
      <c r="F7" s="18" t="n">
        <v>7501.24</v>
      </c>
      <c r="G7" s="25" t="s">
        <v>201</v>
      </c>
    </row>
    <row r="8" customFormat="false" ht="15" hidden="false" customHeight="true" outlineLevel="0" collapsed="false">
      <c r="A8" s="24" t="s">
        <v>148</v>
      </c>
      <c r="B8" s="18" t="n">
        <v>7501.24</v>
      </c>
      <c r="C8" s="18" t="n">
        <v>81007.82</v>
      </c>
      <c r="D8" s="18" t="n">
        <v>75223.4</v>
      </c>
      <c r="E8" s="18" t="n">
        <f aca="false">C8-D8</f>
        <v>5784.42000000001</v>
      </c>
      <c r="F8" s="18" t="n">
        <v>13285.66</v>
      </c>
      <c r="G8" s="25" t="s">
        <v>202</v>
      </c>
    </row>
    <row r="9" customFormat="false" ht="15" hidden="false" customHeight="true" outlineLevel="0" collapsed="false">
      <c r="A9" s="24" t="s">
        <v>149</v>
      </c>
      <c r="B9" s="18" t="n">
        <v>13285.66</v>
      </c>
      <c r="C9" s="18" t="n">
        <v>25030.84</v>
      </c>
      <c r="D9" s="18" t="n">
        <v>38225.46</v>
      </c>
      <c r="E9" s="18" t="n">
        <f aca="false">C9-D9</f>
        <v>-13194.62</v>
      </c>
      <c r="F9" s="18" t="n">
        <v>91.04</v>
      </c>
      <c r="G9" s="25" t="s">
        <v>203</v>
      </c>
    </row>
    <row r="10" customFormat="false" ht="15" hidden="false" customHeight="true" outlineLevel="0" collapsed="false">
      <c r="A10" s="24" t="s">
        <v>150</v>
      </c>
      <c r="B10" s="18" t="n">
        <v>91.04</v>
      </c>
      <c r="C10" s="18" t="n">
        <v>27815.44</v>
      </c>
      <c r="D10" s="18" t="n">
        <v>25429.62</v>
      </c>
      <c r="E10" s="18" t="n">
        <f aca="false">C10-D10</f>
        <v>2385.82</v>
      </c>
      <c r="F10" s="18" t="n">
        <v>2476.86</v>
      </c>
      <c r="G10" s="25" t="s">
        <v>204</v>
      </c>
    </row>
    <row r="11" customFormat="false" ht="15" hidden="false" customHeight="true" outlineLevel="0" collapsed="false">
      <c r="A11" s="24" t="s">
        <v>151</v>
      </c>
      <c r="B11" s="18" t="n">
        <v>2476.86</v>
      </c>
      <c r="C11" s="27" t="n">
        <v>26203.28</v>
      </c>
      <c r="D11" s="27" t="n">
        <v>28211.71</v>
      </c>
      <c r="E11" s="18" t="n">
        <f aca="false">C11-D11</f>
        <v>-2008.43</v>
      </c>
      <c r="F11" s="18" t="n">
        <v>468.43</v>
      </c>
      <c r="G11" s="25" t="s">
        <v>205</v>
      </c>
    </row>
    <row r="12" customFormat="false" ht="15" hidden="false" customHeight="true" outlineLevel="0" collapsed="false">
      <c r="A12" s="24" t="s">
        <v>152</v>
      </c>
      <c r="B12" s="18" t="n">
        <v>468.43</v>
      </c>
      <c r="C12" s="18" t="n">
        <v>13030.68</v>
      </c>
      <c r="D12" s="18" t="n">
        <v>11219.9</v>
      </c>
      <c r="E12" s="18" t="n">
        <f aca="false">C12-D12</f>
        <v>1810.78</v>
      </c>
      <c r="F12" s="18" t="n">
        <v>2279.21</v>
      </c>
      <c r="G12" s="25" t="s">
        <v>206</v>
      </c>
    </row>
    <row r="13" customFormat="false" ht="15" hidden="false" customHeight="true" outlineLevel="0" collapsed="false">
      <c r="A13" s="24" t="s">
        <v>153</v>
      </c>
      <c r="B13" s="18" t="n">
        <v>2279.21</v>
      </c>
      <c r="C13" s="18" t="n">
        <v>14740.57</v>
      </c>
      <c r="D13" s="18" t="n">
        <v>16268.14</v>
      </c>
      <c r="E13" s="18" t="n">
        <f aca="false">C13-D13</f>
        <v>-1527.57</v>
      </c>
      <c r="F13" s="18" t="n">
        <v>751.64</v>
      </c>
      <c r="G13" s="25" t="s">
        <v>207</v>
      </c>
    </row>
    <row r="14" customFormat="false" ht="15" hidden="false" customHeight="true" outlineLevel="0" collapsed="false">
      <c r="A14" s="24" t="s">
        <v>154</v>
      </c>
      <c r="B14" s="18" t="n">
        <v>751.64</v>
      </c>
      <c r="C14" s="18" t="n">
        <v>17349.91</v>
      </c>
      <c r="D14" s="18" t="n">
        <v>13473.34</v>
      </c>
      <c r="E14" s="18" t="n">
        <f aca="false">C14-D14</f>
        <v>3876.57</v>
      </c>
      <c r="F14" s="18" t="n">
        <v>4628.21</v>
      </c>
      <c r="G14" s="25" t="s">
        <v>208</v>
      </c>
    </row>
    <row r="15" customFormat="false" ht="15" hidden="false" customHeight="true" outlineLevel="0" collapsed="false">
      <c r="A15" s="24" t="s">
        <v>155</v>
      </c>
      <c r="B15" s="18" t="n">
        <v>4628.21</v>
      </c>
      <c r="C15" s="18" t="n">
        <v>26217.23</v>
      </c>
      <c r="D15" s="18" t="n">
        <v>15394.51</v>
      </c>
      <c r="E15" s="18" t="n">
        <f aca="false">C15-D15</f>
        <v>10822.72</v>
      </c>
      <c r="F15" s="18" t="n">
        <v>15450.93</v>
      </c>
      <c r="G15" s="25" t="s">
        <v>209</v>
      </c>
    </row>
    <row r="16" customFormat="false" ht="15" hidden="false" customHeight="true" outlineLevel="0" collapsed="false">
      <c r="A16" s="24" t="s">
        <v>156</v>
      </c>
      <c r="B16" s="18" t="n">
        <v>15450.93</v>
      </c>
      <c r="C16" s="18" t="n">
        <v>63280.36</v>
      </c>
      <c r="D16" s="18" t="n">
        <v>68880.9</v>
      </c>
      <c r="E16" s="18" t="n">
        <f aca="false">C16-D16</f>
        <v>-5600.53999999999</v>
      </c>
      <c r="F16" s="18" t="n">
        <v>9850.39</v>
      </c>
      <c r="G16" s="25"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211</v>
      </c>
    </row>
    <row r="2" customFormat="false" ht="15" hidden="false" customHeight="true" outlineLevel="0" collapsed="false">
      <c r="A2" s="13" t="s">
        <v>212</v>
      </c>
    </row>
    <row r="4" customFormat="false" ht="26.25" hidden="false" customHeight="true" outlineLevel="0" collapsed="false">
      <c r="A4" s="14" t="s">
        <v>167</v>
      </c>
      <c r="B4" s="14" t="s">
        <v>168</v>
      </c>
      <c r="C4" s="14" t="s">
        <v>169</v>
      </c>
      <c r="D4" s="14" t="s">
        <v>170</v>
      </c>
      <c r="E4" s="14" t="s">
        <v>171</v>
      </c>
      <c r="F4" s="14" t="s">
        <v>172</v>
      </c>
      <c r="G4" s="14" t="s">
        <v>173</v>
      </c>
    </row>
    <row r="5" customFormat="false" ht="15" hidden="false" customHeight="true" outlineLevel="0" collapsed="false">
      <c r="A5" s="24" t="s">
        <v>145</v>
      </c>
      <c r="B5" s="18" t="n">
        <v>9850.39</v>
      </c>
      <c r="C5" s="18" t="n">
        <v>24334.49</v>
      </c>
      <c r="D5" s="18" t="n">
        <v>26135.5</v>
      </c>
      <c r="E5" s="18" t="n">
        <f aca="false">C5-D5</f>
        <v>-1801.01</v>
      </c>
      <c r="F5" s="18" t="n">
        <v>8049.38</v>
      </c>
      <c r="G5" s="25" t="s">
        <v>213</v>
      </c>
    </row>
    <row r="6" customFormat="false" ht="15" hidden="false" customHeight="true" outlineLevel="0" collapsed="false">
      <c r="A6" s="24" t="s">
        <v>146</v>
      </c>
      <c r="B6" s="18" t="n">
        <v>8049.38</v>
      </c>
      <c r="C6" s="18" t="n">
        <v>23423.13</v>
      </c>
      <c r="D6" s="18" t="n">
        <v>28509.44</v>
      </c>
      <c r="E6" s="18" t="n">
        <f aca="false">C6-D6</f>
        <v>-5086.31</v>
      </c>
      <c r="F6" s="18" t="n">
        <v>2963.07</v>
      </c>
      <c r="G6" s="25" t="s">
        <v>214</v>
      </c>
    </row>
    <row r="7" customFormat="false" ht="15" hidden="false" customHeight="true" outlineLevel="0" collapsed="false">
      <c r="A7" s="24" t="s">
        <v>147</v>
      </c>
      <c r="B7" s="18" t="n">
        <v>2963.07</v>
      </c>
      <c r="C7" s="18" t="n">
        <v>9789.14</v>
      </c>
      <c r="D7" s="18" t="n">
        <v>12172.75</v>
      </c>
      <c r="E7" s="18" t="n">
        <f aca="false">C7-D7</f>
        <v>-2383.61</v>
      </c>
      <c r="F7" s="18" t="n">
        <v>579.46</v>
      </c>
      <c r="G7" s="25" t="s">
        <v>215</v>
      </c>
    </row>
    <row r="8" customFormat="false" ht="15" hidden="false" customHeight="true" outlineLevel="0" collapsed="false">
      <c r="A8" s="24" t="s">
        <v>148</v>
      </c>
      <c r="B8" s="18" t="n">
        <v>579.46</v>
      </c>
      <c r="C8" s="18" t="n">
        <v>10017.23</v>
      </c>
      <c r="D8" s="18" t="n">
        <v>7676.37</v>
      </c>
      <c r="E8" s="18" t="n">
        <f aca="false">C8-D8</f>
        <v>2340.86</v>
      </c>
      <c r="F8" s="18" t="n">
        <v>2920.32</v>
      </c>
      <c r="G8" s="25" t="s">
        <v>216</v>
      </c>
    </row>
    <row r="9" customFormat="false" ht="15" hidden="false" customHeight="true" outlineLevel="0" collapsed="false">
      <c r="A9" s="24" t="s">
        <v>149</v>
      </c>
      <c r="B9" s="18" t="n">
        <v>2920.32</v>
      </c>
      <c r="C9" s="18" t="n">
        <v>14692.68</v>
      </c>
      <c r="D9" s="18" t="n">
        <v>14041.14</v>
      </c>
      <c r="E9" s="18" t="n">
        <f aca="false">C9-D9</f>
        <v>651.540000000001</v>
      </c>
      <c r="F9" s="18" t="n">
        <v>3571.86</v>
      </c>
      <c r="G9" s="25" t="s">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2"/>
  </cols>
  <sheetData>
    <row r="1" customFormat="false" ht="17.25" hidden="false" customHeight="true" outlineLevel="0" collapsed="false">
      <c r="A1" s="2" t="s">
        <v>218</v>
      </c>
    </row>
    <row r="2" customFormat="false" ht="15" hidden="false" customHeight="true" outlineLevel="0" collapsed="false">
      <c r="A2" s="13" t="s">
        <v>219</v>
      </c>
    </row>
    <row r="4" customFormat="false" ht="26.25" hidden="false" customHeight="true" outlineLevel="0" collapsed="false">
      <c r="A4" s="14" t="s">
        <v>144</v>
      </c>
      <c r="B4" s="14" t="s">
        <v>220</v>
      </c>
      <c r="C4" s="14" t="s">
        <v>221</v>
      </c>
      <c r="D4" s="14" t="s">
        <v>222</v>
      </c>
    </row>
    <row r="5" customFormat="false" ht="15" hidden="false" customHeight="true" outlineLevel="0" collapsed="false">
      <c r="A5" s="17" t="s">
        <v>223</v>
      </c>
      <c r="B5" s="18" t="n">
        <v>6206.6</v>
      </c>
      <c r="C5" s="18" t="n">
        <v>9850.39</v>
      </c>
      <c r="D5" s="18" t="n">
        <v>3571.86</v>
      </c>
    </row>
    <row r="6" customFormat="false" ht="15" hidden="false" customHeight="true" outlineLevel="0" collapsed="false">
      <c r="A6" s="17" t="s">
        <v>224</v>
      </c>
      <c r="B6" s="25" t="s">
        <v>225</v>
      </c>
      <c r="C6" s="18" t="n">
        <v>95400</v>
      </c>
      <c r="D6" s="18" t="n">
        <v>95400</v>
      </c>
    </row>
    <row r="7" customFormat="false" ht="15" hidden="false" customHeight="true" outlineLevel="0" collapsed="false">
      <c r="A7" s="17" t="s">
        <v>226</v>
      </c>
      <c r="B7" s="25" t="s">
        <v>198</v>
      </c>
      <c r="C7" s="18" t="n">
        <v>1800</v>
      </c>
      <c r="D7" s="18" t="n">
        <v>1800</v>
      </c>
    </row>
    <row r="8" customFormat="false" ht="15" hidden="false" customHeight="true" outlineLevel="0" collapsed="false">
      <c r="A8" s="17" t="s">
        <v>227</v>
      </c>
      <c r="B8" s="25" t="s">
        <v>198</v>
      </c>
      <c r="C8" s="18" t="n">
        <v>5000</v>
      </c>
      <c r="D8" s="18" t="n">
        <v>5000</v>
      </c>
    </row>
    <row r="9" customFormat="false" ht="15" hidden="false" customHeight="true" outlineLevel="0" collapsed="false">
      <c r="A9" s="17" t="s">
        <v>228</v>
      </c>
      <c r="B9" s="25" t="s">
        <v>198</v>
      </c>
      <c r="C9" s="18" t="n">
        <v>100000</v>
      </c>
      <c r="D9" s="18" t="n">
        <v>100000</v>
      </c>
    </row>
    <row r="10" customFormat="false" ht="15" hidden="false" customHeight="true" outlineLevel="0" collapsed="false">
      <c r="A10" s="7" t="s">
        <v>229</v>
      </c>
      <c r="B10" s="29" t="n">
        <v>6206.6</v>
      </c>
      <c r="C10" s="29" t="n">
        <f aca="false">SUM(C5:C9)</f>
        <v>212050.39</v>
      </c>
      <c r="D10" s="29" t="n">
        <f aca="false">SUM(D5:D9)</f>
        <v>205771.86</v>
      </c>
    </row>
    <row r="11" customFormat="false" ht="15" hidden="false" customHeight="true" outlineLevel="0" collapsed="false">
      <c r="A11" s="17" t="s">
        <v>230</v>
      </c>
      <c r="B11" s="25" t="s">
        <v>231</v>
      </c>
      <c r="C11" s="18" t="n">
        <v>22060</v>
      </c>
      <c r="D11" s="18" t="n">
        <v>22055.63</v>
      </c>
    </row>
    <row r="12" customFormat="false" ht="15" hidden="false" customHeight="true" outlineLevel="0" collapsed="false">
      <c r="A12" s="30" t="s">
        <v>232</v>
      </c>
      <c r="B12" s="25" t="s">
        <v>233</v>
      </c>
      <c r="C12" s="31" t="n">
        <v>25287</v>
      </c>
      <c r="D12" s="18" t="n">
        <v>13879</v>
      </c>
    </row>
    <row r="13" customFormat="false" ht="15" hidden="false" customHeight="true" outlineLevel="0" collapsed="false">
      <c r="A13" s="17" t="s">
        <v>234</v>
      </c>
      <c r="B13" s="25" t="s">
        <v>198</v>
      </c>
      <c r="C13" s="18" t="n">
        <v>54682.9</v>
      </c>
      <c r="D13" s="18" t="n">
        <v>45574.12</v>
      </c>
    </row>
    <row r="14" customFormat="false" ht="15" hidden="false" customHeight="true" outlineLevel="0" collapsed="false">
      <c r="A14" s="7" t="s">
        <v>235</v>
      </c>
      <c r="B14" s="29"/>
      <c r="C14" s="29" t="n">
        <f aca="false">SUM(C11:C13)</f>
        <v>102029.9</v>
      </c>
      <c r="D14" s="29" t="n">
        <f aca="false">SUM(D11:D13)</f>
        <v>81508.75</v>
      </c>
    </row>
    <row r="15" customFormat="false" ht="15" hidden="false" customHeight="true" outlineLevel="0" collapsed="false">
      <c r="A15" s="7" t="s">
        <v>236</v>
      </c>
      <c r="B15" s="7"/>
      <c r="C15" s="7" t="n">
        <f aca="false">C10-C14</f>
        <v>110020.49</v>
      </c>
      <c r="D15" s="7" t="n">
        <f aca="false">D10-D14</f>
        <v>124263.11</v>
      </c>
    </row>
    <row r="16" customFormat="false" ht="63.75" hidden="false" customHeight="true" outlineLevel="0" collapsed="false">
      <c r="A16" s="8" t="s">
        <v>237</v>
      </c>
    </row>
    <row r="17" customFormat="false" ht="87.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s>
  <sheetData>
    <row r="1" customFormat="false" ht="17.25" hidden="false" customHeight="true" outlineLevel="0" collapsed="false">
      <c r="A1" s="2" t="s">
        <v>238</v>
      </c>
    </row>
    <row r="2" customFormat="false" ht="15" hidden="false" customHeight="true" outlineLevel="0" collapsed="false">
      <c r="A2" s="13" t="s">
        <v>239</v>
      </c>
    </row>
    <row r="4" customFormat="false" ht="26.25" hidden="false" customHeight="true" outlineLevel="0" collapsed="false">
      <c r="A4" s="14" t="s">
        <v>240</v>
      </c>
      <c r="B4" s="14" t="s">
        <v>241</v>
      </c>
      <c r="C4" s="14" t="s">
        <v>242</v>
      </c>
    </row>
    <row r="5" customFormat="false" ht="15" hidden="false" customHeight="true" outlineLevel="0" collapsed="false">
      <c r="A5" s="1" t="s">
        <v>223</v>
      </c>
      <c r="B5" s="18" t="n">
        <v>9850.39</v>
      </c>
      <c r="C5" s="18" t="n">
        <v>3571.86</v>
      </c>
    </row>
    <row r="6" customFormat="false" ht="15" hidden="false" customHeight="true" outlineLevel="0" collapsed="false">
      <c r="A6" s="1" t="s">
        <v>224</v>
      </c>
      <c r="B6" s="18" t="n">
        <v>95400</v>
      </c>
      <c r="C6" s="18" t="n">
        <v>95400</v>
      </c>
    </row>
    <row r="7" customFormat="false" ht="15" hidden="false" customHeight="true" outlineLevel="0" collapsed="false">
      <c r="A7" s="1" t="s">
        <v>226</v>
      </c>
      <c r="B7" s="18" t="n">
        <v>1800</v>
      </c>
      <c r="C7" s="18" t="n">
        <v>1800</v>
      </c>
    </row>
    <row r="8" customFormat="false" ht="15" hidden="false" customHeight="true" outlineLevel="0" collapsed="false">
      <c r="A8" s="1" t="s">
        <v>227</v>
      </c>
      <c r="B8" s="18" t="n">
        <v>5000</v>
      </c>
      <c r="C8" s="18" t="n">
        <v>5000</v>
      </c>
    </row>
    <row r="9" customFormat="false" ht="15" hidden="false" customHeight="true" outlineLevel="0" collapsed="false">
      <c r="A9" s="1" t="s">
        <v>243</v>
      </c>
      <c r="B9" s="18" t="n">
        <v>100000</v>
      </c>
      <c r="C9" s="18" t="n">
        <v>100000</v>
      </c>
    </row>
    <row r="10" customFormat="false" ht="15" hidden="false" customHeight="true" outlineLevel="0" collapsed="false">
      <c r="A10" s="1" t="s">
        <v>244</v>
      </c>
      <c r="B10" s="18" t="n">
        <v>-22060</v>
      </c>
      <c r="C10" s="18" t="n">
        <v>-22055.63</v>
      </c>
    </row>
    <row r="11" customFormat="false" ht="15" hidden="false" customHeight="true" outlineLevel="0" collapsed="false">
      <c r="A11" s="24" t="s">
        <v>232</v>
      </c>
      <c r="B11" s="31" t="n">
        <v>-25287</v>
      </c>
      <c r="C11" s="18" t="n">
        <v>-13879</v>
      </c>
    </row>
    <row r="12" customFormat="false" ht="15" hidden="false" customHeight="true" outlineLevel="0" collapsed="false">
      <c r="A12" s="1" t="s">
        <v>245</v>
      </c>
      <c r="B12" s="18" t="n">
        <v>-54682.9</v>
      </c>
      <c r="C12" s="18" t="n">
        <v>-45574.12</v>
      </c>
    </row>
    <row r="13" customFormat="false" ht="15" hidden="false" customHeight="true" outlineLevel="0" collapsed="false">
      <c r="A13" s="1" t="s">
        <v>246</v>
      </c>
      <c r="B13" s="18" t="n">
        <v>-369980.87</v>
      </c>
      <c r="C13" s="25" t="s">
        <v>198</v>
      </c>
    </row>
    <row r="14" customFormat="false" ht="15" hidden="false" customHeight="true" outlineLevel="0" collapsed="false">
      <c r="A14" s="1" t="s">
        <v>247</v>
      </c>
      <c r="B14" s="18" t="n">
        <v>360130.48</v>
      </c>
      <c r="C14" s="25" t="s">
        <v>198</v>
      </c>
    </row>
    <row r="15" customFormat="false" ht="42" hidden="false" customHeight="true" outlineLevel="0" collapsed="false">
      <c r="A15" s="32" t="s">
        <v>248</v>
      </c>
      <c r="B15" s="33" t="s">
        <v>249</v>
      </c>
      <c r="C15" s="33" t="s">
        <v>249</v>
      </c>
    </row>
    <row r="17" customFormat="false" ht="15" hidden="false" customHeight="true" outlineLevel="0" collapsed="false">
      <c r="A17" s="7" t="s">
        <v>250</v>
      </c>
      <c r="B17" s="7" t="n">
        <f aca="false">-(SUM(B5:B12)+B13+B14)</f>
        <v>-100170.1</v>
      </c>
      <c r="C17" s="7" t="n">
        <f aca="false">-SUM(C5:C12)</f>
        <v>-124263.11</v>
      </c>
    </row>
    <row r="18" customFormat="false" ht="15" hidden="false" customHeight="true" outlineLevel="0" collapsed="false">
      <c r="A18" s="7" t="s">
        <v>251</v>
      </c>
      <c r="B18" s="7" t="n">
        <f aca="false">SUM(B5:B14)+B17</f>
        <v>0</v>
      </c>
      <c r="C18" s="7" t="n">
        <f aca="false">SUM(C5:C12)+C17</f>
        <v>0</v>
      </c>
    </row>
    <row r="19" customFormat="false" ht="42" hidden="false" customHeight="true" outlineLevel="0" collapsed="false">
      <c r="A19" s="8"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6" min="2" style="1" width="18"/>
  </cols>
  <sheetData>
    <row r="1" customFormat="false" ht="17.25" hidden="false" customHeight="true" outlineLevel="0" collapsed="false">
      <c r="A1" s="10" t="s">
        <v>253</v>
      </c>
    </row>
    <row r="2" customFormat="false" ht="72" hidden="false" customHeight="true" outlineLevel="0" collapsed="false">
      <c r="A2" s="8" t="s">
        <v>254</v>
      </c>
    </row>
    <row r="4" customFormat="false" ht="15" hidden="false" customHeight="true" outlineLevel="0" collapsed="false">
      <c r="A4" s="11" t="s">
        <v>38</v>
      </c>
      <c r="B4" s="11" t="s">
        <v>255</v>
      </c>
      <c r="C4" s="11" t="s">
        <v>256</v>
      </c>
      <c r="D4" s="11" t="s">
        <v>257</v>
      </c>
      <c r="E4" s="11" t="s">
        <v>258</v>
      </c>
      <c r="F4" s="11" t="s">
        <v>259</v>
      </c>
    </row>
    <row r="5" customFormat="false" ht="15" hidden="false" customHeight="true" outlineLevel="0" collapsed="false">
      <c r="A5" s="11" t="s">
        <v>260</v>
      </c>
      <c r="B5" s="11"/>
      <c r="C5" s="11"/>
      <c r="D5" s="11"/>
      <c r="E5" s="11"/>
      <c r="F5" s="11"/>
    </row>
    <row r="6" customFormat="false" ht="15" hidden="false" customHeight="true" outlineLevel="0" collapsed="false">
      <c r="A6" s="1" t="s">
        <v>261</v>
      </c>
      <c r="B6" s="1" t="s">
        <v>262</v>
      </c>
      <c r="C6" s="1" t="n">
        <v>0</v>
      </c>
      <c r="D6" s="1" t="n">
        <v>0</v>
      </c>
      <c r="E6" s="1" t="n">
        <v>0</v>
      </c>
      <c r="F6" s="1" t="n">
        <v>0</v>
      </c>
    </row>
    <row r="7" customFormat="false" ht="15" hidden="false" customHeight="true" outlineLevel="0" collapsed="false">
      <c r="A7" s="1" t="s">
        <v>263</v>
      </c>
      <c r="B7" s="1" t="s">
        <v>262</v>
      </c>
      <c r="C7" s="1" t="s">
        <v>264</v>
      </c>
      <c r="D7" s="1" t="s">
        <v>264</v>
      </c>
      <c r="E7" s="1" t="s">
        <v>264</v>
      </c>
      <c r="F7" s="1" t="s">
        <v>264</v>
      </c>
    </row>
    <row r="8" customFormat="false" ht="15" hidden="false" customHeight="true" outlineLevel="0" collapsed="false">
      <c r="A8" s="11" t="s">
        <v>265</v>
      </c>
      <c r="B8" s="11"/>
      <c r="C8" s="11"/>
      <c r="D8" s="11"/>
      <c r="E8" s="11"/>
      <c r="F8" s="11"/>
    </row>
    <row r="9" customFormat="false" ht="15" hidden="false" customHeight="true" outlineLevel="0" collapsed="false">
      <c r="A9" s="1" t="s">
        <v>266</v>
      </c>
      <c r="B9" s="1" t="s">
        <v>262</v>
      </c>
      <c r="C9" s="1" t="n">
        <v>0</v>
      </c>
      <c r="D9" s="1" t="n">
        <v>0</v>
      </c>
      <c r="E9" s="1" t="n">
        <v>0</v>
      </c>
      <c r="F9" s="1" t="n">
        <v>0</v>
      </c>
    </row>
    <row r="10" customFormat="false" ht="15" hidden="false" customHeight="true" outlineLevel="0" collapsed="false">
      <c r="A10" s="1" t="s">
        <v>267</v>
      </c>
      <c r="B10" s="1" t="s">
        <v>268</v>
      </c>
      <c r="C10" s="1" t="s">
        <v>269</v>
      </c>
      <c r="D10" s="1" t="s">
        <v>269</v>
      </c>
      <c r="E10" s="1" t="n">
        <v>22060</v>
      </c>
      <c r="F10" s="1" t="n">
        <v>22060</v>
      </c>
    </row>
    <row r="11" customFormat="false" ht="15" hidden="false" customHeight="true" outlineLevel="0" collapsed="false">
      <c r="A11" s="1" t="s">
        <v>270</v>
      </c>
      <c r="B11" s="1" t="s">
        <v>268</v>
      </c>
      <c r="C11" s="1" t="s">
        <v>271</v>
      </c>
      <c r="D11" s="1" t="s">
        <v>271</v>
      </c>
      <c r="E11" s="1" t="n">
        <v>54682.9</v>
      </c>
      <c r="F11" s="1" t="n">
        <v>45574.12</v>
      </c>
    </row>
    <row r="12" customFormat="false" ht="15" hidden="false" customHeight="true" outlineLevel="0" collapsed="false">
      <c r="A12" s="1" t="s">
        <v>272</v>
      </c>
      <c r="B12" s="1" t="s">
        <v>268</v>
      </c>
      <c r="C12" s="1" t="s">
        <v>271</v>
      </c>
      <c r="D12" s="1" t="s">
        <v>271</v>
      </c>
      <c r="E12" s="1" t="n">
        <v>25287</v>
      </c>
      <c r="F12" s="1" t="n">
        <v>13879</v>
      </c>
    </row>
    <row r="13" customFormat="false" ht="15" hidden="false" customHeight="true" outlineLevel="0" collapsed="false">
      <c r="A13" s="1" t="s">
        <v>273</v>
      </c>
      <c r="B13" s="1" t="s">
        <v>274</v>
      </c>
      <c r="C13" s="1" t="n">
        <v>29000</v>
      </c>
      <c r="D13" s="1" t="n">
        <v>4000</v>
      </c>
      <c r="E13" s="1" t="n">
        <v>4000</v>
      </c>
      <c r="F13" s="1" t="n">
        <v>4000</v>
      </c>
    </row>
    <row r="15" customFormat="false" ht="60" hidden="false" customHeight="true" outlineLevel="0" collapsed="false">
      <c r="A15" s="8"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8"/>
  </cols>
  <sheetData>
    <row r="1" customFormat="false" ht="17.25" hidden="false" customHeight="true" outlineLevel="0" collapsed="false">
      <c r="A1" s="2" t="s">
        <v>276</v>
      </c>
    </row>
    <row r="2" customFormat="false" ht="15" hidden="false" customHeight="true" outlineLevel="0" collapsed="false">
      <c r="A2" s="13" t="s">
        <v>277</v>
      </c>
    </row>
    <row r="4" customFormat="false" ht="15" hidden="false" customHeight="true" outlineLevel="0" collapsed="false">
      <c r="A4" s="14" t="s">
        <v>278</v>
      </c>
      <c r="B4" s="14" t="s">
        <v>279</v>
      </c>
      <c r="C4" s="14" t="s">
        <v>280</v>
      </c>
      <c r="D4" s="14" t="s">
        <v>281</v>
      </c>
    </row>
    <row r="5" customFormat="false" ht="15" hidden="false" customHeight="true" outlineLevel="0" collapsed="false">
      <c r="A5" s="1" t="s">
        <v>93</v>
      </c>
      <c r="B5" s="18" t="n">
        <v>418990</v>
      </c>
      <c r="C5" s="18" t="n">
        <v>369980.87</v>
      </c>
      <c r="D5" s="18" t="n">
        <v>130976.23</v>
      </c>
    </row>
    <row r="6" customFormat="false" ht="15" hidden="false" customHeight="true" outlineLevel="0" collapsed="false">
      <c r="A6" s="1" t="s">
        <v>282</v>
      </c>
      <c r="B6" s="18" t="n">
        <v>150577</v>
      </c>
      <c r="C6" s="18" t="n">
        <v>105777.57</v>
      </c>
      <c r="D6" s="18" t="n">
        <v>8873.49</v>
      </c>
    </row>
    <row r="7" customFormat="false" ht="15" hidden="false" customHeight="true" outlineLevel="0" collapsed="false">
      <c r="A7" s="15" t="s">
        <v>283</v>
      </c>
      <c r="B7" s="20" t="n">
        <f aca="false">B5-B6</f>
        <v>268413</v>
      </c>
      <c r="C7" s="20" t="n">
        <f aca="false">C5-C6</f>
        <v>264203.3</v>
      </c>
      <c r="D7" s="20" t="n">
        <f aca="false">D5-D6</f>
        <v>122102.74</v>
      </c>
    </row>
    <row r="8" customFormat="false" ht="15" hidden="false" customHeight="true" outlineLevel="0" collapsed="false">
      <c r="A8" s="15" t="s">
        <v>284</v>
      </c>
      <c r="B8" s="34" t="n">
        <f aca="false">B7/B5</f>
        <v>0.640619107854603</v>
      </c>
      <c r="C8" s="34" t="n">
        <f aca="false">C7/C5</f>
        <v>0.714099893867486</v>
      </c>
      <c r="D8" s="34" t="n">
        <f aca="false">D7/D5</f>
        <v>0.932251142058372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0"/>
  </cols>
  <sheetData>
    <row r="1" customFormat="false" ht="17.25" hidden="false" customHeight="true" outlineLevel="0" collapsed="false">
      <c r="A1" s="2" t="s">
        <v>285</v>
      </c>
    </row>
    <row r="2" customFormat="false" ht="15" hidden="false" customHeight="true" outlineLevel="0" collapsed="false">
      <c r="A2" s="13" t="s">
        <v>286</v>
      </c>
    </row>
    <row r="4" customFormat="false" ht="15" hidden="false" customHeight="true" outlineLevel="0" collapsed="false">
      <c r="A4" s="15" t="s">
        <v>287</v>
      </c>
    </row>
    <row r="5" customFormat="false" ht="15" hidden="false" customHeight="true" outlineLevel="0" collapsed="false">
      <c r="A5" s="1" t="s">
        <v>288</v>
      </c>
      <c r="B5" s="35" t="n">
        <v>14745.15</v>
      </c>
    </row>
    <row r="6" customFormat="false" ht="15" hidden="false" customHeight="true" outlineLevel="0" collapsed="false">
      <c r="A6" s="1" t="s">
        <v>289</v>
      </c>
      <c r="B6" s="35" t="n">
        <v>16395.69</v>
      </c>
    </row>
    <row r="7" customFormat="false" ht="15" hidden="false" customHeight="true" outlineLevel="0" collapsed="false">
      <c r="A7" s="1" t="s">
        <v>290</v>
      </c>
      <c r="B7" s="36" t="n">
        <v>0.02</v>
      </c>
    </row>
    <row r="8" customFormat="false" ht="15" hidden="false" customHeight="true" outlineLevel="0" collapsed="false">
      <c r="A8" s="1" t="s">
        <v>291</v>
      </c>
      <c r="B8" s="36" t="n">
        <v>0.01</v>
      </c>
    </row>
    <row r="9" customFormat="false" ht="15" hidden="false" customHeight="true" outlineLevel="0" collapsed="false">
      <c r="A9" s="1" t="s">
        <v>292</v>
      </c>
    </row>
    <row r="11" customFormat="false" ht="15" hidden="false" customHeight="true" outlineLevel="0" collapsed="false">
      <c r="A11" s="14" t="s">
        <v>167</v>
      </c>
      <c r="B11" s="14" t="s">
        <v>293</v>
      </c>
      <c r="C11" s="14" t="s">
        <v>294</v>
      </c>
      <c r="D11" s="14" t="s">
        <v>295</v>
      </c>
      <c r="E11" s="14" t="s">
        <v>296</v>
      </c>
      <c r="F11" s="14" t="s">
        <v>297</v>
      </c>
      <c r="G11" s="14" t="s">
        <v>298</v>
      </c>
      <c r="H11" s="14" t="s">
        <v>299</v>
      </c>
      <c r="I11" s="14" t="s">
        <v>300</v>
      </c>
      <c r="J11" s="14" t="s">
        <v>301</v>
      </c>
      <c r="K11" s="14" t="s">
        <v>302</v>
      </c>
      <c r="L11" s="14" t="s">
        <v>303</v>
      </c>
      <c r="M11" s="14" t="s">
        <v>304</v>
      </c>
      <c r="N11" s="14" t="s">
        <v>305</v>
      </c>
      <c r="O11" s="14" t="s">
        <v>306</v>
      </c>
      <c r="P11" s="14" t="s">
        <v>307</v>
      </c>
      <c r="Q11" s="14" t="s">
        <v>308</v>
      </c>
      <c r="R11" s="14" t="s">
        <v>309</v>
      </c>
      <c r="S11" s="14" t="s">
        <v>310</v>
      </c>
      <c r="T11" s="14" t="s">
        <v>311</v>
      </c>
      <c r="U11" s="14" t="s">
        <v>312</v>
      </c>
      <c r="V11" s="14" t="s">
        <v>313</v>
      </c>
      <c r="W11" s="14" t="s">
        <v>314</v>
      </c>
      <c r="X11" s="14" t="s">
        <v>315</v>
      </c>
      <c r="Y11" s="14" t="s">
        <v>316</v>
      </c>
      <c r="Z11" s="14" t="s">
        <v>317</v>
      </c>
      <c r="AA11" s="14" t="s">
        <v>318</v>
      </c>
      <c r="AB11" s="14" t="s">
        <v>319</v>
      </c>
      <c r="AC11" s="14" t="s">
        <v>320</v>
      </c>
      <c r="AD11" s="14" t="s">
        <v>321</v>
      </c>
      <c r="AE11" s="14" t="s">
        <v>322</v>
      </c>
      <c r="AF11" s="14" t="s">
        <v>323</v>
      </c>
      <c r="AG11" s="14" t="s">
        <v>324</v>
      </c>
      <c r="AH11" s="14" t="s">
        <v>325</v>
      </c>
      <c r="AI11" s="14" t="s">
        <v>326</v>
      </c>
      <c r="AJ11" s="14" t="s">
        <v>327</v>
      </c>
      <c r="AK11" s="14" t="s">
        <v>328</v>
      </c>
    </row>
    <row r="12" customFormat="false" ht="15" hidden="false" customHeight="true" outlineLevel="0" collapsed="false">
      <c r="A12" s="1" t="s">
        <v>329</v>
      </c>
      <c r="B12" s="37" t="n">
        <f aca="false">$B$5</f>
        <v>14745.15</v>
      </c>
      <c r="C12" s="37" t="n">
        <f aca="false">B12*(1+$B$7)</f>
        <v>15040.053</v>
      </c>
      <c r="D12" s="37" t="n">
        <f aca="false">C12*(1+$B$7)</f>
        <v>15340.85406</v>
      </c>
      <c r="E12" s="37" t="n">
        <f aca="false">D12*(1+$B$7)</f>
        <v>15647.6711412</v>
      </c>
      <c r="F12" s="37" t="n">
        <f aca="false">E12*(1+$B$7)</f>
        <v>15960.624564024</v>
      </c>
      <c r="G12" s="37" t="n">
        <f aca="false">F12*(1+$B$7)</f>
        <v>16279.8370553045</v>
      </c>
      <c r="H12" s="37" t="n">
        <f aca="false">G12*(1+$B$7)</f>
        <v>16605.4337964106</v>
      </c>
      <c r="I12" s="37" t="n">
        <f aca="false">H12*(1+$B$7)</f>
        <v>16937.5424723388</v>
      </c>
      <c r="J12" s="37" t="n">
        <f aca="false">I12*(1+$B$7)</f>
        <v>17276.2933217856</v>
      </c>
      <c r="K12" s="37" t="n">
        <f aca="false">J12*(1+$B$7)</f>
        <v>17621.8191882213</v>
      </c>
      <c r="L12" s="37" t="n">
        <f aca="false">K12*(1+$B$7)</f>
        <v>17974.2555719857</v>
      </c>
      <c r="M12" s="37" t="n">
        <f aca="false">L12*(1+$B$7)</f>
        <v>18333.7406834254</v>
      </c>
      <c r="N12" s="37" t="n">
        <f aca="false">M12*(1+$B$7)</f>
        <v>18700.4154970939</v>
      </c>
      <c r="O12" s="37" t="n">
        <f aca="false">N12*(1+$B$7)</f>
        <v>19074.4238070358</v>
      </c>
      <c r="P12" s="37" t="n">
        <f aca="false">O12*(1+$B$7)</f>
        <v>19455.9122831765</v>
      </c>
      <c r="Q12" s="37" t="n">
        <f aca="false">P12*(1+$B$7)</f>
        <v>19845.03052884</v>
      </c>
      <c r="R12" s="37" t="n">
        <f aca="false">Q12*(1+$B$7)</f>
        <v>20241.9311394168</v>
      </c>
      <c r="S12" s="37" t="n">
        <f aca="false">R12*(1+$B$7)</f>
        <v>20646.7697622052</v>
      </c>
      <c r="T12" s="37" t="n">
        <f aca="false">S12*(1+$B$7)</f>
        <v>21059.7051574493</v>
      </c>
      <c r="U12" s="37" t="n">
        <f aca="false">T12*(1+$B$7)</f>
        <v>21480.8992605983</v>
      </c>
      <c r="V12" s="37" t="n">
        <f aca="false">U12*(1+$B$7)</f>
        <v>21910.5172458102</v>
      </c>
      <c r="W12" s="37" t="n">
        <f aca="false">V12*(1+$B$7)</f>
        <v>22348.7275907265</v>
      </c>
      <c r="X12" s="37" t="n">
        <f aca="false">W12*(1+$B$7)</f>
        <v>22795.702142541</v>
      </c>
      <c r="Y12" s="37" t="n">
        <f aca="false">X12*(1+$B$7)</f>
        <v>23251.6161853918</v>
      </c>
      <c r="Z12" s="37" t="n">
        <f aca="false">Y12*(1+$B$7)</f>
        <v>23716.6485090996</v>
      </c>
      <c r="AA12" s="37" t="n">
        <f aca="false">Z12*(1+$B$7)</f>
        <v>24190.9814792816</v>
      </c>
      <c r="AB12" s="37" t="n">
        <f aca="false">AA12*(1+$B$7)</f>
        <v>24674.8011088673</v>
      </c>
      <c r="AC12" s="37" t="n">
        <f aca="false">AB12*(1+$B$7)</f>
        <v>25168.2971310446</v>
      </c>
      <c r="AD12" s="37" t="n">
        <f aca="false">AC12*(1+$B$7)</f>
        <v>25671.6630736655</v>
      </c>
      <c r="AE12" s="37" t="n">
        <f aca="false">AD12*(1+$B$7)</f>
        <v>26185.0963351388</v>
      </c>
      <c r="AF12" s="37" t="n">
        <f aca="false">AE12*(1+$B$7)</f>
        <v>26708.7982618416</v>
      </c>
      <c r="AG12" s="37" t="n">
        <f aca="false">AF12*(1+$B$7)</f>
        <v>27242.9742270784</v>
      </c>
      <c r="AH12" s="37" t="n">
        <f aca="false">AG12*(1+$B$7)</f>
        <v>27787.83371162</v>
      </c>
      <c r="AI12" s="37" t="n">
        <f aca="false">AH12*(1+$B$7)</f>
        <v>28343.5903858524</v>
      </c>
      <c r="AJ12" s="37" t="n">
        <f aca="false">AI12*(1+$B$7)</f>
        <v>28910.4621935694</v>
      </c>
      <c r="AK12" s="37" t="n">
        <f aca="false">AJ12*(1+$B$7)</f>
        <v>29488.6714374408</v>
      </c>
    </row>
    <row r="13" customFormat="false" ht="15" hidden="false" customHeight="true" outlineLevel="0" collapsed="false">
      <c r="A13" s="1" t="s">
        <v>330</v>
      </c>
      <c r="B13" s="37" t="n">
        <f aca="false">$B$6</f>
        <v>16395.69</v>
      </c>
      <c r="C13" s="37" t="n">
        <f aca="false">B13*(1+$B$8)</f>
        <v>16559.6469</v>
      </c>
      <c r="D13" s="37" t="n">
        <f aca="false">C13*(1+$B$8)</f>
        <v>16725.243369</v>
      </c>
      <c r="E13" s="37" t="n">
        <f aca="false">D13*(1+$B$8)</f>
        <v>16892.49580269</v>
      </c>
      <c r="F13" s="37" t="n">
        <f aca="false">E13*(1+$B$8)</f>
        <v>17061.4207607169</v>
      </c>
      <c r="G13" s="37" t="n">
        <f aca="false">F13*(1+$B$8)</f>
        <v>17232.0349683241</v>
      </c>
      <c r="H13" s="37" t="n">
        <f aca="false">G13*(1+$B$8)</f>
        <v>17404.3553180073</v>
      </c>
      <c r="I13" s="37" t="n">
        <f aca="false">H13*(1+$B$8)</f>
        <v>17578.3988711874</v>
      </c>
      <c r="J13" s="37" t="n">
        <f aca="false">I13*(1+$B$8)</f>
        <v>17754.1828598993</v>
      </c>
      <c r="K13" s="37" t="n">
        <f aca="false">J13*(1+$B$8)</f>
        <v>17931.7246884983</v>
      </c>
      <c r="L13" s="37" t="n">
        <f aca="false">K13*(1+$B$8)</f>
        <v>18111.0419353832</v>
      </c>
      <c r="M13" s="37" t="n">
        <f aca="false">L13*(1+$B$8)</f>
        <v>18292.1523547371</v>
      </c>
      <c r="N13" s="37" t="n">
        <f aca="false">M13*(1+$B$8)</f>
        <v>18475.0738782844</v>
      </c>
      <c r="O13" s="37" t="n">
        <f aca="false">N13*(1+$B$8)</f>
        <v>18659.8246170673</v>
      </c>
      <c r="P13" s="37" t="n">
        <f aca="false">O13*(1+$B$8)</f>
        <v>18846.422863238</v>
      </c>
      <c r="Q13" s="37" t="n">
        <f aca="false">P13*(1+$B$8)</f>
        <v>19034.8870918703</v>
      </c>
      <c r="R13" s="37" t="n">
        <f aca="false">Q13*(1+$B$8)</f>
        <v>19225.235962789</v>
      </c>
      <c r="S13" s="37" t="n">
        <f aca="false">R13*(1+$B$8)</f>
        <v>19417.4883224169</v>
      </c>
      <c r="T13" s="37" t="n">
        <f aca="false">S13*(1+$B$8)</f>
        <v>19611.6632056411</v>
      </c>
      <c r="U13" s="37" t="n">
        <f aca="false">T13*(1+$B$8)</f>
        <v>19807.7798376975</v>
      </c>
      <c r="V13" s="37" t="n">
        <f aca="false">U13*(1+$B$8)</f>
        <v>20005.8576360745</v>
      </c>
      <c r="W13" s="37" t="n">
        <f aca="false">V13*(1+$B$8)</f>
        <v>20205.9162124352</v>
      </c>
      <c r="X13" s="37" t="n">
        <f aca="false">W13*(1+$B$8)</f>
        <v>20407.9753745596</v>
      </c>
      <c r="Y13" s="37" t="n">
        <f aca="false">X13*(1+$B$8)</f>
        <v>20612.0551283052</v>
      </c>
      <c r="Z13" s="37" t="n">
        <f aca="false">Y13*(1+$B$8)</f>
        <v>20818.1756795882</v>
      </c>
      <c r="AA13" s="37" t="n">
        <f aca="false">Z13*(1+$B$8)</f>
        <v>21026.3574363841</v>
      </c>
      <c r="AB13" s="37" t="n">
        <f aca="false">AA13*(1+$B$8)</f>
        <v>21236.621010748</v>
      </c>
      <c r="AC13" s="37" t="n">
        <f aca="false">AB13*(1+$B$8)</f>
        <v>21448.9872208554</v>
      </c>
      <c r="AD13" s="37" t="n">
        <f aca="false">AC13*(1+$B$8)</f>
        <v>21663.477093064</v>
      </c>
      <c r="AE13" s="37" t="n">
        <f aca="false">AD13*(1+$B$8)</f>
        <v>21880.1118639946</v>
      </c>
      <c r="AF13" s="37" t="n">
        <f aca="false">AE13*(1+$B$8)</f>
        <v>22098.9129826346</v>
      </c>
      <c r="AG13" s="37" t="n">
        <f aca="false">AF13*(1+$B$8)</f>
        <v>22319.9021124609</v>
      </c>
      <c r="AH13" s="37" t="n">
        <f aca="false">AG13*(1+$B$8)</f>
        <v>22543.1011335855</v>
      </c>
      <c r="AI13" s="37" t="n">
        <f aca="false">AH13*(1+$B$8)</f>
        <v>22768.5321449214</v>
      </c>
      <c r="AJ13" s="37" t="n">
        <f aca="false">AI13*(1+$B$8)</f>
        <v>22996.2174663706</v>
      </c>
      <c r="AK13" s="37" t="n">
        <f aca="false">AJ13*(1+$B$8)</f>
        <v>23226.1796410343</v>
      </c>
    </row>
    <row r="14" customFormat="false" ht="15" hidden="false" customHeight="true" outlineLevel="0" collapsed="false">
      <c r="A14" s="15" t="s">
        <v>331</v>
      </c>
      <c r="B14" s="38" t="n">
        <f aca="false">B12-B13</f>
        <v>-1650.54</v>
      </c>
      <c r="C14" s="38" t="n">
        <f aca="false">C12-C13</f>
        <v>-1519.5939</v>
      </c>
      <c r="D14" s="38" t="n">
        <f aca="false">D12-D13</f>
        <v>-1384.389309</v>
      </c>
      <c r="E14" s="38" t="n">
        <f aca="false">E12-E13</f>
        <v>-1244.82466149</v>
      </c>
      <c r="F14" s="38" t="n">
        <f aca="false">F12-F13</f>
        <v>-1100.7961966929</v>
      </c>
      <c r="G14" s="38" t="n">
        <f aca="false">G12-G13</f>
        <v>-952.197913019585</v>
      </c>
      <c r="H14" s="38" t="n">
        <f aca="false">H12-H13</f>
        <v>-798.921521596734</v>
      </c>
      <c r="I14" s="38" t="n">
        <f aca="false">I12-I13</f>
        <v>-640.856398848595</v>
      </c>
      <c r="J14" s="38" t="n">
        <f aca="false">J12-J13</f>
        <v>-477.889538113694</v>
      </c>
      <c r="K14" s="38" t="n">
        <f aca="false">K12-K13</f>
        <v>-309.905500276978</v>
      </c>
      <c r="L14" s="38" t="n">
        <f aca="false">L12-L13</f>
        <v>-136.786363397536</v>
      </c>
      <c r="M14" s="38" t="n">
        <f aca="false">M12-M13</f>
        <v>41.5883286883436</v>
      </c>
      <c r="N14" s="38" t="n">
        <f aca="false">N12-N13</f>
        <v>225.341618809482</v>
      </c>
      <c r="O14" s="38" t="n">
        <f aca="false">O12-O13</f>
        <v>414.599189968514</v>
      </c>
      <c r="P14" s="38" t="n">
        <f aca="false">P12-P13</f>
        <v>609.489419938556</v>
      </c>
      <c r="Q14" s="38" t="n">
        <f aca="false">Q12-Q13</f>
        <v>810.143436969705</v>
      </c>
      <c r="R14" s="38" t="n">
        <f aca="false">R12-R13</f>
        <v>1016.6951766278</v>
      </c>
      <c r="S14" s="38" t="n">
        <f aca="false">S12-S13</f>
        <v>1229.28143978825</v>
      </c>
      <c r="T14" s="38" t="n">
        <f aca="false">T12-T13</f>
        <v>1448.04195180819</v>
      </c>
      <c r="U14" s="38" t="n">
        <f aca="false">U12-U13</f>
        <v>1673.11942290076</v>
      </c>
      <c r="V14" s="38" t="n">
        <f aca="false">V12-V13</f>
        <v>1904.65960973575</v>
      </c>
      <c r="W14" s="38" t="n">
        <f aca="false">W12-W13</f>
        <v>2142.81137829122</v>
      </c>
      <c r="X14" s="38" t="n">
        <f aca="false">X12-X13</f>
        <v>2387.72676798139</v>
      </c>
      <c r="Y14" s="38" t="n">
        <f aca="false">Y12-Y13</f>
        <v>2639.56105708662</v>
      </c>
      <c r="Z14" s="38" t="n">
        <f aca="false">Z12-Z13</f>
        <v>2898.4728295114</v>
      </c>
      <c r="AA14" s="38" t="n">
        <f aca="false">AA12-AA13</f>
        <v>3164.62404289751</v>
      </c>
      <c r="AB14" s="38" t="n">
        <f aca="false">AB12-AB13</f>
        <v>3438.1800981193</v>
      </c>
      <c r="AC14" s="38" t="n">
        <f aca="false">AC12-AC13</f>
        <v>3719.30991018917</v>
      </c>
      <c r="AD14" s="38" t="n">
        <f aca="false">AD12-AD13</f>
        <v>4008.18598060151</v>
      </c>
      <c r="AE14" s="38" t="n">
        <f aca="false">AE12-AE13</f>
        <v>4304.98447114418</v>
      </c>
      <c r="AF14" s="38" t="n">
        <f aca="false">AF12-AF13</f>
        <v>4609.88527920701</v>
      </c>
      <c r="AG14" s="38" t="n">
        <f aca="false">AG12-AG13</f>
        <v>4923.0721146175</v>
      </c>
      <c r="AH14" s="38" t="n">
        <f aca="false">AH12-AH13</f>
        <v>5244.73257803445</v>
      </c>
      <c r="AI14" s="38" t="n">
        <f aca="false">AI12-AI13</f>
        <v>5575.058240931</v>
      </c>
      <c r="AJ14" s="38" t="n">
        <f aca="false">AJ12-AJ13</f>
        <v>5914.24472719884</v>
      </c>
      <c r="AK14" s="38" t="n">
        <f aca="false">AK12-AK13</f>
        <v>6262.49179640652</v>
      </c>
    </row>
    <row r="15" customFormat="false" ht="15" hidden="false" customHeight="true" outlineLevel="0" collapsed="false">
      <c r="A15" s="15" t="s">
        <v>332</v>
      </c>
      <c r="B15" s="20" t="n">
        <f aca="false">3571.86+B14</f>
        <v>1921.32</v>
      </c>
      <c r="C15" s="20" t="n">
        <f aca="false">B15+C14</f>
        <v>401.726100000001</v>
      </c>
      <c r="D15" s="20" t="n">
        <f aca="false">C15+D14</f>
        <v>-982.663208999999</v>
      </c>
      <c r="E15" s="20" t="n">
        <f aca="false">D15+E14</f>
        <v>-2227.48787049</v>
      </c>
      <c r="F15" s="20" t="n">
        <f aca="false">E15+F14</f>
        <v>-3328.28406718289</v>
      </c>
      <c r="G15" s="20" t="n">
        <f aca="false">F15+G14</f>
        <v>-4280.48198020248</v>
      </c>
      <c r="H15" s="20" t="n">
        <f aca="false">G15+H14</f>
        <v>-5079.40350179921</v>
      </c>
      <c r="I15" s="20" t="n">
        <f aca="false">H15+I14</f>
        <v>-5720.25990064781</v>
      </c>
      <c r="J15" s="20" t="n">
        <f aca="false">I15+J14</f>
        <v>-6198.1494387615</v>
      </c>
      <c r="K15" s="20" t="n">
        <f aca="false">J15+K14</f>
        <v>-6508.05493903848</v>
      </c>
      <c r="L15" s="20" t="n">
        <f aca="false">K15+L14</f>
        <v>-6644.84130243601</v>
      </c>
      <c r="M15" s="20" t="n">
        <f aca="false">L15+M14</f>
        <v>-6603.25297374767</v>
      </c>
      <c r="N15" s="20" t="n">
        <f aca="false">M15+N14</f>
        <v>-6377.91135493819</v>
      </c>
      <c r="O15" s="20" t="n">
        <f aca="false">N15+O14</f>
        <v>-5963.31216496968</v>
      </c>
      <c r="P15" s="20" t="n">
        <f aca="false">O15+P14</f>
        <v>-5353.82274503112</v>
      </c>
      <c r="Q15" s="20" t="n">
        <f aca="false">P15+Q14</f>
        <v>-4543.67930806141</v>
      </c>
      <c r="R15" s="20" t="n">
        <f aca="false">Q15+R14</f>
        <v>-3526.98413143361</v>
      </c>
      <c r="S15" s="20" t="n">
        <f aca="false">R15+S14</f>
        <v>-2297.70269164536</v>
      </c>
      <c r="T15" s="20" t="n">
        <f aca="false">S15+T14</f>
        <v>-849.660739837173</v>
      </c>
      <c r="U15" s="20" t="n">
        <f aca="false">T15+U14</f>
        <v>823.458683063591</v>
      </c>
      <c r="V15" s="20" t="n">
        <f aca="false">U15+V14</f>
        <v>2728.11829279935</v>
      </c>
      <c r="W15" s="20" t="n">
        <f aca="false">V15+W14</f>
        <v>4870.92967109056</v>
      </c>
      <c r="X15" s="20" t="n">
        <f aca="false">W15+X14</f>
        <v>7258.65643907195</v>
      </c>
      <c r="Y15" s="20" t="n">
        <f aca="false">X15+Y14</f>
        <v>9898.21749615857</v>
      </c>
      <c r="Z15" s="20" t="n">
        <f aca="false">Y15+Z14</f>
        <v>12796.69032567</v>
      </c>
      <c r="AA15" s="20" t="n">
        <f aca="false">Z15+AA14</f>
        <v>15961.3143685675</v>
      </c>
      <c r="AB15" s="20" t="n">
        <f aca="false">AA15+AB14</f>
        <v>19399.4944666868</v>
      </c>
      <c r="AC15" s="20" t="n">
        <f aca="false">AB15+AC14</f>
        <v>23118.804376876</v>
      </c>
      <c r="AD15" s="20" t="n">
        <f aca="false">AC15+AD14</f>
        <v>27126.9903574775</v>
      </c>
      <c r="AE15" s="20" t="n">
        <f aca="false">AD15+AE14</f>
        <v>31431.9748286217</v>
      </c>
      <c r="AF15" s="20" t="n">
        <f aca="false">AE15+AF14</f>
        <v>36041.8601078287</v>
      </c>
      <c r="AG15" s="20" t="n">
        <f aca="false">AF15+AG14</f>
        <v>40964.9322224462</v>
      </c>
      <c r="AH15" s="20" t="n">
        <f aca="false">AG15+AH14</f>
        <v>46209.6648004806</v>
      </c>
      <c r="AI15" s="20" t="n">
        <f aca="false">AH15+AI14</f>
        <v>51784.7230414116</v>
      </c>
      <c r="AJ15" s="20" t="n">
        <f aca="false">AI15+AJ14</f>
        <v>57698.9677686105</v>
      </c>
      <c r="AK15" s="20" t="n">
        <f aca="false">AJ15+AK14</f>
        <v>63961.459565017</v>
      </c>
    </row>
    <row r="17" customFormat="false" ht="15" hidden="false" customHeight="true" outlineLevel="0" collapsed="false">
      <c r="A17" s="1" t="s">
        <v>333</v>
      </c>
      <c r="B17" s="1" t="n">
        <f aca="false">IF(B15&lt;0,1,0)</f>
        <v>0</v>
      </c>
      <c r="C17" s="1" t="n">
        <f aca="false">IF(C15&lt;0,1,0)</f>
        <v>0</v>
      </c>
      <c r="D17" s="1" t="n">
        <f aca="false">IF(D15&lt;0,1,0)</f>
        <v>1</v>
      </c>
      <c r="E17" s="1" t="n">
        <f aca="false">IF(E15&lt;0,1,0)</f>
        <v>1</v>
      </c>
      <c r="F17" s="1" t="n">
        <f aca="false">IF(F15&lt;0,1,0)</f>
        <v>1</v>
      </c>
      <c r="G17" s="1" t="n">
        <f aca="false">IF(G15&lt;0,1,0)</f>
        <v>1</v>
      </c>
      <c r="H17" s="1" t="n">
        <f aca="false">IF(H15&lt;0,1,0)</f>
        <v>1</v>
      </c>
      <c r="I17" s="1" t="n">
        <f aca="false">IF(I15&lt;0,1,0)</f>
        <v>1</v>
      </c>
      <c r="J17" s="1" t="n">
        <f aca="false">IF(J15&lt;0,1,0)</f>
        <v>1</v>
      </c>
      <c r="K17" s="1" t="n">
        <f aca="false">IF(K15&lt;0,1,0)</f>
        <v>1</v>
      </c>
      <c r="L17" s="1" t="n">
        <f aca="false">IF(L15&lt;0,1,0)</f>
        <v>1</v>
      </c>
      <c r="M17" s="1" t="n">
        <f aca="false">IF(M15&lt;0,1,0)</f>
        <v>1</v>
      </c>
      <c r="N17" s="1" t="n">
        <f aca="false">IF(N15&lt;0,1,0)</f>
        <v>1</v>
      </c>
      <c r="O17" s="1" t="n">
        <f aca="false">IF(O15&lt;0,1,0)</f>
        <v>1</v>
      </c>
      <c r="P17" s="1" t="n">
        <f aca="false">IF(P15&lt;0,1,0)</f>
        <v>1</v>
      </c>
      <c r="Q17" s="1" t="n">
        <f aca="false">IF(Q15&lt;0,1,0)</f>
        <v>1</v>
      </c>
      <c r="R17" s="1" t="n">
        <f aca="false">IF(R15&lt;0,1,0)</f>
        <v>1</v>
      </c>
      <c r="S17" s="1" t="n">
        <f aca="false">IF(S15&lt;0,1,0)</f>
        <v>1</v>
      </c>
      <c r="T17" s="1" t="n">
        <f aca="false">IF(T15&lt;0,1,0)</f>
        <v>1</v>
      </c>
      <c r="U17" s="1" t="n">
        <f aca="false">IF(U15&lt;0,1,0)</f>
        <v>0</v>
      </c>
      <c r="V17" s="1" t="n">
        <f aca="false">IF(V15&lt;0,1,0)</f>
        <v>0</v>
      </c>
      <c r="W17" s="1" t="n">
        <f aca="false">IF(W15&lt;0,1,0)</f>
        <v>0</v>
      </c>
      <c r="X17" s="1" t="n">
        <f aca="false">IF(X15&lt;0,1,0)</f>
        <v>0</v>
      </c>
      <c r="Y17" s="1" t="n">
        <f aca="false">IF(Y15&lt;0,1,0)</f>
        <v>0</v>
      </c>
      <c r="Z17" s="1" t="n">
        <f aca="false">IF(Z15&lt;0,1,0)</f>
        <v>0</v>
      </c>
      <c r="AA17" s="1" t="n">
        <f aca="false">IF(AA15&lt;0,1,0)</f>
        <v>0</v>
      </c>
      <c r="AB17" s="1" t="n">
        <f aca="false">IF(AB15&lt;0,1,0)</f>
        <v>0</v>
      </c>
      <c r="AC17" s="1" t="n">
        <f aca="false">IF(AC15&lt;0,1,0)</f>
        <v>0</v>
      </c>
      <c r="AD17" s="1" t="n">
        <f aca="false">IF(AD15&lt;0,1,0)</f>
        <v>0</v>
      </c>
      <c r="AE17" s="1" t="n">
        <f aca="false">IF(AE15&lt;0,1,0)</f>
        <v>0</v>
      </c>
      <c r="AF17" s="1" t="n">
        <f aca="false">IF(AF15&lt;0,1,0)</f>
        <v>0</v>
      </c>
      <c r="AG17" s="1" t="n">
        <f aca="false">IF(AG15&lt;0,1,0)</f>
        <v>0</v>
      </c>
      <c r="AH17" s="1" t="n">
        <f aca="false">IF(AH15&lt;0,1,0)</f>
        <v>0</v>
      </c>
      <c r="AI17" s="1" t="n">
        <f aca="false">IF(AI15&lt;0,1,0)</f>
        <v>0</v>
      </c>
      <c r="AJ17" s="1" t="n">
        <f aca="false">IF(AJ15&lt;0,1,0)</f>
        <v>0</v>
      </c>
      <c r="AK17" s="1" t="n">
        <f aca="false">IF(AK15&lt;0,1,0)</f>
        <v>0</v>
      </c>
    </row>
    <row r="19" customFormat="false" ht="15" hidden="false" customHeight="true" outlineLevel="0" collapsed="false">
      <c r="A19" s="11" t="s">
        <v>334</v>
      </c>
    </row>
    <row r="20" customFormat="false" ht="15" hidden="false" customHeight="true" outlineLevel="0" collapsed="false">
      <c r="A20" s="1" t="s">
        <v>335</v>
      </c>
      <c r="B20" s="7" t="n">
        <f aca="false">B6-B5</f>
        <v>1650.54</v>
      </c>
    </row>
    <row r="21" customFormat="false" ht="15" hidden="false" customHeight="true" outlineLevel="0" collapsed="false">
      <c r="A21" s="1" t="s">
        <v>336</v>
      </c>
      <c r="B21" s="1" t="n">
        <v>-52.89</v>
      </c>
    </row>
    <row r="22" customFormat="false" ht="15" hidden="false" customHeight="true" outlineLevel="0" collapsed="false">
      <c r="A22" s="1" t="s">
        <v>337</v>
      </c>
      <c r="B22" s="7" t="n">
        <f aca="false">B21/B20</f>
        <v>-0.0320440583081901</v>
      </c>
    </row>
    <row r="23" customFormat="false" ht="15" hidden="false" customHeight="true" outlineLevel="0" collapsed="false">
      <c r="A23" s="1" t="s">
        <v>338</v>
      </c>
      <c r="B23" s="7" t="n">
        <f aca="false">IF(SUM(B17:AK17)=0,"&gt;36",MATCH(1,B17:AK17,0))</f>
        <v>3</v>
      </c>
    </row>
    <row r="24" customFormat="false" ht="91.5" hidden="false" customHeight="true" outlineLevel="0" collapsed="false">
      <c r="A24" s="8" t="s">
        <v>339</v>
      </c>
    </row>
    <row r="26" customFormat="false" ht="15" hidden="false" customHeight="true" outlineLevel="0" collapsed="false">
      <c r="A26" s="11" t="s">
        <v>340</v>
      </c>
    </row>
    <row r="27" customFormat="false" ht="54.75" hidden="false" customHeight="true" outlineLevel="0" collapsed="false">
      <c r="A27" s="1" t="s">
        <v>341</v>
      </c>
      <c r="B27" s="1" t="n">
        <v>2500</v>
      </c>
      <c r="C27" s="8" t="s">
        <v>342</v>
      </c>
    </row>
    <row r="28" customFormat="false" ht="54.75" hidden="false" customHeight="true" outlineLevel="0" collapsed="false">
      <c r="A28" s="1" t="s">
        <v>343</v>
      </c>
      <c r="B28" s="1" t="n">
        <v>1500</v>
      </c>
      <c r="C28" s="8" t="s">
        <v>344</v>
      </c>
    </row>
    <row r="29" customFormat="false" ht="68.25" hidden="false" customHeight="true" outlineLevel="0" collapsed="false">
      <c r="A29" s="1" t="s">
        <v>345</v>
      </c>
      <c r="B29" s="39" t="n">
        <v>0</v>
      </c>
      <c r="C29" s="8" t="s">
        <v>346</v>
      </c>
    </row>
    <row r="30" customFormat="false" ht="162" hidden="false" customHeight="true" outlineLevel="0" collapsed="false">
      <c r="A30" s="1" t="s">
        <v>347</v>
      </c>
      <c r="B30" s="39" t="n">
        <v>692</v>
      </c>
      <c r="C30" s="8" t="s">
        <v>348</v>
      </c>
    </row>
    <row r="31" customFormat="false" ht="15" hidden="false" customHeight="true" outlineLevel="0" collapsed="false">
      <c r="A31" s="7" t="s">
        <v>349</v>
      </c>
      <c r="B31" s="7" t="n">
        <f aca="false">SUM(B27:B30)</f>
        <v>4692</v>
      </c>
    </row>
    <row r="32" customFormat="false" ht="15" hidden="false" customHeight="true" outlineLevel="0" collapsed="false">
      <c r="A32" s="7" t="s">
        <v>350</v>
      </c>
      <c r="B32" s="7" t="n">
        <f aca="false">B31/B5</f>
        <v>0.318206325469731</v>
      </c>
    </row>
    <row r="33" customFormat="false" ht="15.75" hidden="false" customHeight="true" outlineLevel="0" collapsed="false">
      <c r="A33" s="40" t="s">
        <v>351</v>
      </c>
    </row>
    <row r="34" customFormat="false" ht="109.5" hidden="false" customHeight="true" outlineLevel="0" collapsed="false">
      <c r="A34" s="8" t="s">
        <v>352</v>
      </c>
    </row>
    <row r="36" customFormat="false" ht="15" hidden="false" customHeight="true" outlineLevel="0" collapsed="false">
      <c r="A36" s="41" t="s">
        <v>353</v>
      </c>
    </row>
    <row r="37" customFormat="false" ht="91.5" hidden="false" customHeight="true" outlineLevel="0" collapsed="false">
      <c r="A37" s="8" t="s">
        <v>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 collapsed="false" customWidth="true" hidden="false" outlineLevel="0" max="3" min="3" style="1" width="22"/>
    <col collapsed="false" customWidth="true" hidden="false" outlineLevel="0" max="5" min="4" style="1" width="14"/>
    <col collapsed="false" customWidth="true" hidden="false" outlineLevel="0" max="6" min="6" style="1" width="18"/>
    <col collapsed="false" customWidth="true" hidden="false" outlineLevel="0" max="7" min="7" style="1" width="26"/>
    <col collapsed="false" customWidth="true" hidden="false" outlineLevel="0" max="8" min="8" style="1" width="44"/>
  </cols>
  <sheetData>
    <row r="1" customFormat="false" ht="17.25" hidden="false" customHeight="true" outlineLevel="0" collapsed="false">
      <c r="A1" s="10" t="s">
        <v>355</v>
      </c>
    </row>
    <row r="3" customFormat="false" ht="15" hidden="false" customHeight="true" outlineLevel="0" collapsed="false">
      <c r="A3" s="11" t="s">
        <v>356</v>
      </c>
      <c r="B3" s="11" t="s">
        <v>357</v>
      </c>
      <c r="C3" s="11" t="s">
        <v>255</v>
      </c>
      <c r="D3" s="11" t="s">
        <v>358</v>
      </c>
      <c r="E3" s="11" t="s">
        <v>359</v>
      </c>
      <c r="F3" s="11" t="s">
        <v>360</v>
      </c>
      <c r="G3" s="11" t="s">
        <v>361</v>
      </c>
      <c r="H3" s="11" t="s">
        <v>362</v>
      </c>
    </row>
    <row r="4" customFormat="false" ht="57.75" hidden="false" customHeight="true" outlineLevel="0" collapsed="false">
      <c r="A4" s="8" t="s">
        <v>363</v>
      </c>
      <c r="B4" s="8" t="s">
        <v>364</v>
      </c>
      <c r="C4" s="8" t="s">
        <v>268</v>
      </c>
      <c r="D4" s="8" t="n">
        <v>66587</v>
      </c>
      <c r="E4" s="8" t="n">
        <v>13879</v>
      </c>
      <c r="F4" s="8" t="s">
        <v>365</v>
      </c>
      <c r="G4" s="8" t="s">
        <v>366</v>
      </c>
      <c r="H4" s="8" t="s">
        <v>367</v>
      </c>
    </row>
    <row r="5" customFormat="false" ht="57.75" hidden="false" customHeight="true" outlineLevel="0" collapsed="false">
      <c r="A5" s="8" t="s">
        <v>368</v>
      </c>
      <c r="B5" s="8" t="s">
        <v>369</v>
      </c>
      <c r="C5" s="8" t="s">
        <v>370</v>
      </c>
      <c r="D5" s="8" t="s">
        <v>198</v>
      </c>
      <c r="E5" s="8" t="n">
        <f aca="false">Credit_Cards!B12</f>
        <v>22055.63</v>
      </c>
      <c r="F5" s="8" t="s">
        <v>371</v>
      </c>
      <c r="G5" s="8" t="s">
        <v>372</v>
      </c>
      <c r="H5" s="8" t="s">
        <v>373</v>
      </c>
    </row>
    <row r="6" customFormat="false" ht="57.75" hidden="false" customHeight="true" outlineLevel="0" collapsed="false">
      <c r="A6" s="8" t="s">
        <v>374</v>
      </c>
      <c r="B6" s="8" t="s">
        <v>375</v>
      </c>
      <c r="C6" s="8" t="s">
        <v>376</v>
      </c>
      <c r="D6" s="8" t="s">
        <v>269</v>
      </c>
      <c r="E6" s="8" t="s">
        <v>377</v>
      </c>
      <c r="F6" s="8" t="s">
        <v>378</v>
      </c>
      <c r="G6" s="8" t="s">
        <v>379</v>
      </c>
      <c r="H6" s="8" t="s">
        <v>380</v>
      </c>
    </row>
    <row r="7" customFormat="false" ht="57.75" hidden="false" customHeight="true" outlineLevel="0" collapsed="false">
      <c r="A7" s="8" t="s">
        <v>381</v>
      </c>
      <c r="B7" s="8" t="s">
        <v>382</v>
      </c>
      <c r="C7" s="8" t="s">
        <v>383</v>
      </c>
      <c r="D7" s="8" t="n">
        <v>29000</v>
      </c>
      <c r="E7" s="8" t="n">
        <v>4000</v>
      </c>
      <c r="F7" s="8" t="s">
        <v>384</v>
      </c>
      <c r="G7" s="8" t="s">
        <v>385</v>
      </c>
      <c r="H7" s="8" t="s">
        <v>386</v>
      </c>
    </row>
    <row r="8" customFormat="false" ht="15" hidden="false" customHeight="true" outlineLevel="0" collapsed="false">
      <c r="A8" s="7" t="s">
        <v>387</v>
      </c>
      <c r="E8" s="7" t="n">
        <f aca="false">E4+E5</f>
        <v>35934.63</v>
      </c>
    </row>
    <row r="10" customFormat="false" ht="60" hidden="false" customHeight="true" outlineLevel="0" collapsed="false">
      <c r="A10" s="8" t="s">
        <v>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3" min="3" style="1" width="18"/>
    <col collapsed="false" customWidth="true" hidden="false" outlineLevel="0" max="5" min="4" style="1" width="22"/>
    <col collapsed="false" customWidth="true" hidden="false" outlineLevel="0" max="6" min="6" style="1" width="18"/>
    <col collapsed="false" customWidth="true" hidden="false" outlineLevel="0" max="7" min="7" style="1" width="52"/>
  </cols>
  <sheetData>
    <row r="1" customFormat="false" ht="17.25" hidden="false" customHeight="true" outlineLevel="0" collapsed="false">
      <c r="A1" s="10" t="s">
        <v>389</v>
      </c>
    </row>
    <row r="2" customFormat="false" ht="90" hidden="false" customHeight="true" outlineLevel="0" collapsed="false">
      <c r="A2" s="8" t="s">
        <v>390</v>
      </c>
    </row>
    <row r="4" customFormat="false" ht="15" hidden="false" customHeight="true" outlineLevel="0" collapsed="false">
      <c r="A4" s="11" t="s">
        <v>391</v>
      </c>
      <c r="B4" s="11" t="s">
        <v>392</v>
      </c>
      <c r="C4" s="11" t="s">
        <v>393</v>
      </c>
      <c r="D4" s="11" t="s">
        <v>394</v>
      </c>
      <c r="E4" s="11" t="s">
        <v>395</v>
      </c>
      <c r="F4" s="11" t="s">
        <v>396</v>
      </c>
      <c r="G4" s="11" t="s">
        <v>397</v>
      </c>
    </row>
    <row r="5" customFormat="false" ht="72" hidden="false" customHeight="true" outlineLevel="0" collapsed="false">
      <c r="A5" s="1" t="s">
        <v>398</v>
      </c>
      <c r="B5" s="42" t="n">
        <v>22055.63</v>
      </c>
      <c r="C5" s="42" t="n">
        <v>0.2774</v>
      </c>
      <c r="D5" s="42" t="n">
        <v>1500</v>
      </c>
      <c r="E5" s="1" t="n">
        <f aca="false">IF(OR(B5=0,D5=0),"n/a",IF(D5&lt;=B5*C5/12,"payment &lt; interest — never pays off",NPER(C5/12,-D5,B5)))</f>
        <v>18.1751668190193</v>
      </c>
      <c r="F5" s="1" t="n">
        <f aca="false">IF(OR(B5=0,D5=0),"n/a",IF(D5&lt;=B5*C5/12,"n/a",E5*D5-B5))</f>
        <v>5207.12022852893</v>
      </c>
      <c r="G5" s="8" t="s">
        <v>399</v>
      </c>
    </row>
    <row r="6" customFormat="false" ht="87.75" hidden="false" customHeight="true" outlineLevel="0" collapsed="false">
      <c r="A6" s="1" t="s">
        <v>400</v>
      </c>
      <c r="B6" s="42" t="n">
        <v>25327.77</v>
      </c>
      <c r="C6" s="42" t="n">
        <v>0.0999</v>
      </c>
      <c r="D6" s="42" t="n">
        <v>1235</v>
      </c>
      <c r="E6" s="1" t="n">
        <f aca="false">IF(OR(B6=0,D6=0),"n/a",IF(D6&lt;=B6*C6/12,"payment &lt; interest — never pays off",NPER(C6/12,-D6,B6)))</f>
        <v>22.5813525005093</v>
      </c>
      <c r="F6" s="1" t="n">
        <f aca="false">IF(OR(B6=0,D6=0),"n/a",IF(D6&lt;=B6*C6/12,"n/a",E6*D6-B6))</f>
        <v>2560.20033812903</v>
      </c>
      <c r="G6" s="8" t="s">
        <v>401</v>
      </c>
    </row>
    <row r="7" customFormat="false" ht="15" hidden="false" customHeight="true" outlineLevel="0" collapsed="false">
      <c r="A7" s="1" t="s">
        <v>402</v>
      </c>
      <c r="B7" s="39" t="n">
        <v>0</v>
      </c>
      <c r="C7" s="39" t="n">
        <v>0</v>
      </c>
      <c r="D7" s="39" t="n">
        <v>0</v>
      </c>
      <c r="E7" s="1" t="str">
        <f aca="false">IF(OR(B7=0,D7=0),"n/a",IF(D7&lt;=B7*C7/12,"payment &lt; interest — never pays off",NPER(C7/12,-D7,B7)))</f>
        <v>n/a</v>
      </c>
      <c r="F7" s="1" t="str">
        <f aca="false">IF(OR(B7=0,D7=0),"n/a",IF(D7&lt;=B7*C7/12,"n/a",E7*D7-B7))</f>
        <v>n/a</v>
      </c>
      <c r="G7" s="8"/>
    </row>
    <row r="12" customFormat="false" ht="15" hidden="false" customHeight="true" outlineLevel="0" collapsed="false">
      <c r="A12" s="7" t="s">
        <v>403</v>
      </c>
      <c r="B12" s="7" t="n">
        <f aca="false">B5+B7</f>
        <v>22055.63</v>
      </c>
    </row>
    <row r="13" customFormat="false" ht="15" hidden="false" customHeight="true" outlineLevel="0" collapsed="false">
      <c r="A13" s="1" t="s">
        <v>404</v>
      </c>
      <c r="B13" s="1" t="n">
        <f aca="false">B12-22055.63</f>
        <v>0</v>
      </c>
    </row>
    <row r="15" customFormat="false" ht="79.5" hidden="false" customHeight="true" outlineLevel="0" collapsed="false">
      <c r="A15" s="8" t="s">
        <v>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52"/>
    <col collapsed="false" customWidth="true" hidden="false" outlineLevel="0" max="4" min="4" style="1" width="50"/>
  </cols>
  <sheetData>
    <row r="1" customFormat="false" ht="17.25" hidden="false" customHeight="true" outlineLevel="0" collapsed="false">
      <c r="A1" s="10" t="s">
        <v>406</v>
      </c>
    </row>
    <row r="3" customFormat="false" ht="15" hidden="false" customHeight="true" outlineLevel="0" collapsed="false">
      <c r="A3" s="11" t="s">
        <v>255</v>
      </c>
      <c r="B3" s="11" t="s">
        <v>240</v>
      </c>
      <c r="C3" s="11" t="s">
        <v>407</v>
      </c>
      <c r="D3" s="11" t="s">
        <v>408</v>
      </c>
    </row>
    <row r="4" customFormat="false" ht="15" hidden="false" customHeight="true" outlineLevel="0" collapsed="false">
      <c r="A4" s="8" t="s">
        <v>274</v>
      </c>
      <c r="B4" s="8" t="s">
        <v>409</v>
      </c>
      <c r="C4" s="8" t="s">
        <v>410</v>
      </c>
      <c r="D4" s="8" t="s">
        <v>411</v>
      </c>
    </row>
    <row r="5" customFormat="false" ht="15" hidden="false" customHeight="true" outlineLevel="0" collapsed="false">
      <c r="A5" s="8" t="s">
        <v>274</v>
      </c>
      <c r="B5" s="8" t="s">
        <v>409</v>
      </c>
      <c r="C5" s="8" t="s">
        <v>412</v>
      </c>
      <c r="D5" s="8" t="s">
        <v>411</v>
      </c>
    </row>
    <row r="6" customFormat="false" ht="15" hidden="false" customHeight="true" outlineLevel="0" collapsed="false">
      <c r="A6" s="8" t="s">
        <v>274</v>
      </c>
      <c r="B6" s="8" t="s">
        <v>409</v>
      </c>
      <c r="C6" s="8" t="s">
        <v>413</v>
      </c>
      <c r="D6" s="8" t="s">
        <v>414</v>
      </c>
    </row>
    <row r="7" customFormat="false" ht="27.75" hidden="false" customHeight="true" outlineLevel="0" collapsed="false">
      <c r="A7" s="8" t="s">
        <v>268</v>
      </c>
      <c r="B7" s="8" t="s">
        <v>415</v>
      </c>
      <c r="C7" s="8" t="s">
        <v>416</v>
      </c>
      <c r="D7" s="8" t="s">
        <v>417</v>
      </c>
    </row>
    <row r="8" customFormat="false" ht="15" hidden="false" customHeight="true" outlineLevel="0" collapsed="false">
      <c r="A8" s="8" t="s">
        <v>268</v>
      </c>
      <c r="B8" s="8" t="s">
        <v>415</v>
      </c>
      <c r="C8" s="8" t="s">
        <v>418</v>
      </c>
      <c r="D8" s="8" t="s">
        <v>411</v>
      </c>
    </row>
    <row r="9" customFormat="false" ht="15" hidden="false" customHeight="true" outlineLevel="0" collapsed="false">
      <c r="A9" s="8" t="s">
        <v>268</v>
      </c>
      <c r="B9" s="8" t="s">
        <v>415</v>
      </c>
      <c r="C9" s="8" t="s">
        <v>419</v>
      </c>
      <c r="D9" s="8" t="s">
        <v>420</v>
      </c>
    </row>
    <row r="11" customFormat="false" ht="39.75" hidden="false" customHeight="true" outlineLevel="0" collapsed="false">
      <c r="A11" s="8" t="s">
        <v>421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5" min="3" style="1" width="16"/>
    <col collapsed="false" customWidth="true" hidden="false" outlineLevel="0" max="6" min="6" style="1" width="14"/>
    <col collapsed="false" customWidth="true" hidden="false" outlineLevel="0" max="7" min="7" style="1" width="52"/>
  </cols>
  <sheetData>
    <row r="1" customFormat="false" ht="17.25" hidden="false" customHeight="true" outlineLevel="0" collapsed="false">
      <c r="A1" s="2" t="s">
        <v>422</v>
      </c>
    </row>
    <row r="2" customFormat="false" ht="34.5" hidden="false" customHeight="true" outlineLevel="0" collapsed="false">
      <c r="A2" s="22" t="s">
        <v>423</v>
      </c>
    </row>
    <row r="4" customFormat="false" ht="30" hidden="false" customHeight="true" outlineLevel="0" collapsed="false">
      <c r="A4" s="23" t="s">
        <v>424</v>
      </c>
      <c r="B4" s="23" t="s">
        <v>255</v>
      </c>
      <c r="C4" s="23" t="s">
        <v>425</v>
      </c>
      <c r="D4" s="23" t="s">
        <v>426</v>
      </c>
      <c r="E4" s="23" t="s">
        <v>427</v>
      </c>
      <c r="F4" s="23" t="s">
        <v>428</v>
      </c>
      <c r="G4" s="23" t="s">
        <v>397</v>
      </c>
    </row>
    <row r="5" customFormat="false" ht="27.75" hidden="false" customHeight="true" outlineLevel="0" collapsed="false">
      <c r="A5" s="30" t="s">
        <v>429</v>
      </c>
      <c r="B5" s="25" t="s">
        <v>268</v>
      </c>
      <c r="C5" s="18" t="n">
        <v>305065.9</v>
      </c>
      <c r="D5" s="18" t="n">
        <v>238467.8</v>
      </c>
      <c r="E5" s="25" t="s">
        <v>271</v>
      </c>
      <c r="F5" s="18" t="n">
        <v>49015.48</v>
      </c>
      <c r="G5" s="22" t="s">
        <v>430</v>
      </c>
    </row>
    <row r="6" customFormat="false" ht="27.75" hidden="false" customHeight="true" outlineLevel="0" collapsed="false">
      <c r="A6" s="30" t="s">
        <v>431</v>
      </c>
      <c r="B6" s="25" t="s">
        <v>268</v>
      </c>
      <c r="C6" s="18" t="n">
        <v>113924.1</v>
      </c>
      <c r="D6" s="18" t="n">
        <v>131513.07</v>
      </c>
      <c r="E6" s="25" t="s">
        <v>271</v>
      </c>
      <c r="F6" s="18" t="n">
        <v>35305.16</v>
      </c>
      <c r="G6" s="22" t="s">
        <v>432</v>
      </c>
    </row>
    <row r="7" customFormat="false" ht="27.75" hidden="false" customHeight="true" outlineLevel="0" collapsed="false">
      <c r="A7" s="30" t="s">
        <v>433</v>
      </c>
      <c r="B7" s="25" t="s">
        <v>434</v>
      </c>
      <c r="C7" s="18" t="n">
        <v>7200</v>
      </c>
      <c r="D7" s="25" t="s">
        <v>271</v>
      </c>
      <c r="E7" s="25" t="s">
        <v>271</v>
      </c>
      <c r="F7" s="25" t="s">
        <v>271</v>
      </c>
      <c r="G7" s="22" t="s">
        <v>435</v>
      </c>
    </row>
    <row r="8" customFormat="false" ht="27.75" hidden="false" customHeight="true" outlineLevel="0" collapsed="false">
      <c r="A8" s="30" t="s">
        <v>436</v>
      </c>
      <c r="B8" s="25" t="s">
        <v>268</v>
      </c>
      <c r="C8" s="25" t="s">
        <v>271</v>
      </c>
      <c r="D8" s="18" t="n">
        <v>549.89</v>
      </c>
      <c r="E8" s="25" t="s">
        <v>271</v>
      </c>
      <c r="F8" s="18" t="n">
        <v>249.95</v>
      </c>
      <c r="G8" s="22" t="s">
        <v>437</v>
      </c>
    </row>
    <row r="9" customFormat="false" ht="27.75" hidden="false" customHeight="true" outlineLevel="0" collapsed="false">
      <c r="A9" s="30" t="s">
        <v>438</v>
      </c>
      <c r="B9" s="25" t="s">
        <v>268</v>
      </c>
      <c r="C9" s="25" t="s">
        <v>271</v>
      </c>
      <c r="D9" s="18" t="n">
        <v>561.22</v>
      </c>
      <c r="E9" s="25" t="s">
        <v>271</v>
      </c>
      <c r="F9" s="18" t="n">
        <v>408.16</v>
      </c>
      <c r="G9" s="22" t="s">
        <v>439</v>
      </c>
    </row>
    <row r="10" customFormat="false" ht="27.75" hidden="false" customHeight="true" outlineLevel="0" collapsed="false">
      <c r="A10" s="30" t="s">
        <v>440</v>
      </c>
      <c r="B10" s="25" t="s">
        <v>268</v>
      </c>
      <c r="C10" s="25" t="s">
        <v>271</v>
      </c>
      <c r="D10" s="25" t="s">
        <v>271</v>
      </c>
      <c r="E10" s="25" t="s">
        <v>271</v>
      </c>
      <c r="F10" s="25" t="s">
        <v>271</v>
      </c>
      <c r="G10" s="22" t="s">
        <v>441</v>
      </c>
    </row>
    <row r="11" customFormat="false" ht="27.75" hidden="false" customHeight="true" outlineLevel="0" collapsed="false">
      <c r="A11" s="30" t="s">
        <v>442</v>
      </c>
      <c r="B11" s="25" t="s">
        <v>268</v>
      </c>
      <c r="C11" s="25" t="s">
        <v>271</v>
      </c>
      <c r="D11" s="18" t="n">
        <v>1410.21</v>
      </c>
      <c r="E11" s="25" t="s">
        <v>271</v>
      </c>
      <c r="F11" s="25" t="s">
        <v>271</v>
      </c>
      <c r="G11" s="22" t="s">
        <v>443</v>
      </c>
    </row>
    <row r="12" customFormat="false" ht="27.75" hidden="false" customHeight="true" outlineLevel="0" collapsed="false">
      <c r="A12" s="30" t="s">
        <v>444</v>
      </c>
      <c r="B12" s="25" t="s">
        <v>268</v>
      </c>
      <c r="C12" s="25" t="s">
        <v>271</v>
      </c>
      <c r="D12" s="18" t="n">
        <v>855.13</v>
      </c>
      <c r="E12" s="25" t="s">
        <v>271</v>
      </c>
      <c r="F12" s="18" t="n">
        <v>329.16</v>
      </c>
      <c r="G12" s="22" t="s">
        <v>445</v>
      </c>
    </row>
    <row r="13" customFormat="false" ht="27.75" hidden="false" customHeight="true" outlineLevel="0" collapsed="false">
      <c r="A13" s="30" t="s">
        <v>446</v>
      </c>
      <c r="B13" s="25" t="s">
        <v>268</v>
      </c>
      <c r="C13" s="25" t="s">
        <v>271</v>
      </c>
      <c r="D13" s="18" t="n">
        <v>1528.34</v>
      </c>
      <c r="E13" s="25" t="s">
        <v>271</v>
      </c>
      <c r="F13" s="18" t="n">
        <v>610.02</v>
      </c>
      <c r="G13" s="22" t="s">
        <v>447</v>
      </c>
    </row>
    <row r="14" customFormat="false" ht="27.75" hidden="false" customHeight="true" outlineLevel="0" collapsed="false">
      <c r="A14" s="30" t="s">
        <v>448</v>
      </c>
      <c r="B14" s="25" t="s">
        <v>434</v>
      </c>
      <c r="C14" s="25" t="s">
        <v>271</v>
      </c>
      <c r="D14" s="25" t="s">
        <v>271</v>
      </c>
      <c r="E14" s="18" t="n">
        <v>130976.23</v>
      </c>
      <c r="F14" s="25" t="s">
        <v>271</v>
      </c>
      <c r="G14" s="22" t="s">
        <v>449</v>
      </c>
    </row>
    <row r="16" customFormat="false" ht="39.75" hidden="false" customHeight="true" outlineLevel="0" collapsed="false">
      <c r="A16" s="19" t="s">
        <v>450</v>
      </c>
      <c r="C16" s="16" t="n">
        <v>305065.9</v>
      </c>
      <c r="D16" s="16" t="n">
        <v>374885.66</v>
      </c>
      <c r="E16" s="25" t="s">
        <v>271</v>
      </c>
      <c r="F16" s="16" t="n">
        <v>85917.93</v>
      </c>
      <c r="G16" s="43" t="s">
        <v>451</v>
      </c>
    </row>
    <row r="18" customFormat="false" ht="15" hidden="false" customHeight="true" outlineLevel="0" collapsed="false">
      <c r="A18" s="44" t="s">
        <v>452</v>
      </c>
      <c r="B18" s="44"/>
      <c r="C18" s="44"/>
      <c r="D18" s="44"/>
      <c r="E18" s="44"/>
      <c r="F18" s="44"/>
      <c r="G18" s="44"/>
    </row>
    <row r="19" customFormat="false" ht="15" hidden="false" customHeight="true" outlineLevel="0" collapsed="false">
      <c r="A19" s="45" t="s">
        <v>453</v>
      </c>
      <c r="B19" s="45"/>
      <c r="C19" s="45"/>
      <c r="D19" s="45"/>
      <c r="E19" s="45"/>
      <c r="F19" s="45"/>
      <c r="G19" s="45"/>
    </row>
    <row r="20" customFormat="false" ht="15" hidden="false" customHeight="true" outlineLevel="0" collapsed="false">
      <c r="A20" s="45" t="s">
        <v>454</v>
      </c>
      <c r="B20" s="45"/>
      <c r="C20" s="45"/>
      <c r="D20" s="45"/>
      <c r="E20" s="45"/>
      <c r="F20" s="45"/>
      <c r="G20" s="45"/>
    </row>
    <row r="21" customFormat="false" ht="15" hidden="false" customHeight="true" outlineLevel="0" collapsed="false">
      <c r="A21" s="45" t="s">
        <v>455</v>
      </c>
      <c r="B21" s="45"/>
      <c r="C21" s="45"/>
      <c r="D21" s="45"/>
      <c r="E21" s="45"/>
      <c r="F21" s="45"/>
      <c r="G21" s="45"/>
    </row>
    <row r="22" customFormat="false" ht="15" hidden="false" customHeight="true" outlineLevel="0" collapsed="false">
      <c r="A22" s="45" t="s">
        <v>456</v>
      </c>
      <c r="B22" s="45"/>
      <c r="C22" s="45"/>
      <c r="D22" s="45"/>
      <c r="E22" s="45"/>
      <c r="F22" s="45"/>
      <c r="G22" s="45"/>
    </row>
    <row r="23" customFormat="false" ht="15" hidden="false" customHeight="true" outlineLevel="0" collapsed="false">
      <c r="A23" s="45" t="s">
        <v>457</v>
      </c>
      <c r="B23" s="45"/>
      <c r="C23" s="45"/>
      <c r="D23" s="45"/>
      <c r="E23" s="45"/>
      <c r="F23" s="45"/>
      <c r="G23" s="45"/>
    </row>
    <row r="24" customFormat="false" ht="15" hidden="false" customHeight="true" outlineLevel="0" collapsed="false">
      <c r="A24" s="45" t="s">
        <v>458</v>
      </c>
      <c r="B24" s="45"/>
      <c r="C24" s="45"/>
      <c r="D24" s="45"/>
      <c r="E24" s="45"/>
      <c r="F24" s="45"/>
      <c r="G24" s="45"/>
    </row>
    <row r="25" customFormat="false" ht="15" hidden="false" customHeight="true" outlineLevel="0" collapsed="false">
      <c r="A25" s="45" t="s">
        <v>459</v>
      </c>
      <c r="B25" s="45"/>
      <c r="C25" s="45"/>
      <c r="D25" s="45"/>
      <c r="E25" s="45"/>
      <c r="F25" s="45"/>
      <c r="G25" s="45"/>
    </row>
    <row r="27" customFormat="false" ht="15" hidden="false" customHeight="true" outlineLevel="0" collapsed="false">
      <c r="A27" s="7" t="s">
        <v>460</v>
      </c>
    </row>
    <row r="28" customFormat="false" ht="15" hidden="false" customHeight="true" outlineLevel="0" collapsed="false">
      <c r="A28" s="11" t="s">
        <v>461</v>
      </c>
      <c r="B28" s="11" t="s">
        <v>462</v>
      </c>
      <c r="C28" s="11" t="s">
        <v>40</v>
      </c>
      <c r="D28" s="11" t="s">
        <v>463</v>
      </c>
      <c r="E28" s="11"/>
      <c r="F28" s="11"/>
      <c r="G28" s="11"/>
    </row>
    <row r="29" customFormat="false" ht="54.75" hidden="false" customHeight="true" outlineLevel="0" collapsed="false">
      <c r="A29" s="8" t="s">
        <v>433</v>
      </c>
      <c r="B29" s="8" t="s">
        <v>464</v>
      </c>
      <c r="C29" s="8" t="n">
        <v>7200</v>
      </c>
      <c r="D29" s="8" t="s">
        <v>465</v>
      </c>
    </row>
    <row r="30" customFormat="false" ht="41.25" hidden="false" customHeight="true" outlineLevel="0" collapsed="false">
      <c r="A30" s="8" t="s">
        <v>466</v>
      </c>
      <c r="B30" s="8" t="s">
        <v>467</v>
      </c>
      <c r="C30" s="8" t="n">
        <v>1529.83</v>
      </c>
      <c r="D30" s="8" t="s">
        <v>468</v>
      </c>
    </row>
    <row r="31" customFormat="false" ht="68.25" hidden="false" customHeight="true" outlineLevel="0" collapsed="false">
      <c r="A31" s="8" t="s">
        <v>469</v>
      </c>
      <c r="B31" s="8" t="s">
        <v>467</v>
      </c>
      <c r="C31" s="8" t="n">
        <v>3266.67</v>
      </c>
      <c r="D31" s="8" t="s">
        <v>470</v>
      </c>
    </row>
    <row r="32" customFormat="false" ht="41.25" hidden="false" customHeight="true" outlineLevel="0" collapsed="false">
      <c r="A32" s="8" t="s">
        <v>471</v>
      </c>
      <c r="B32" s="8" t="s">
        <v>467</v>
      </c>
      <c r="C32" s="8" t="n">
        <v>1742.31</v>
      </c>
      <c r="D32" s="8" t="s">
        <v>472</v>
      </c>
    </row>
    <row r="33" customFormat="false" ht="41.25" hidden="false" customHeight="true" outlineLevel="0" collapsed="false">
      <c r="A33" s="8" t="s">
        <v>473</v>
      </c>
      <c r="B33" s="8" t="s">
        <v>467</v>
      </c>
      <c r="C33" s="8" t="n">
        <v>1029.58</v>
      </c>
      <c r="D33" s="8" t="s">
        <v>474</v>
      </c>
    </row>
    <row r="34" customFormat="false" ht="68.25" hidden="false" customHeight="true" outlineLevel="0" collapsed="false">
      <c r="A34" s="8" t="s">
        <v>475</v>
      </c>
      <c r="B34" s="8" t="s">
        <v>467</v>
      </c>
      <c r="C34" s="8" t="n">
        <v>1410.21</v>
      </c>
      <c r="D34" s="8" t="s">
        <v>476</v>
      </c>
    </row>
    <row r="35" customFormat="false" ht="81.75" hidden="false" customHeight="true" outlineLevel="0" collapsed="false">
      <c r="A35" s="8" t="s">
        <v>473</v>
      </c>
      <c r="B35" s="8" t="s">
        <v>477</v>
      </c>
      <c r="C35" s="8" t="n">
        <v>1974.31</v>
      </c>
      <c r="D35" s="8" t="s">
        <v>478</v>
      </c>
    </row>
    <row r="36" customFormat="false" ht="45" hidden="false" customHeight="true" outlineLevel="0" collapsed="false">
      <c r="A36" s="8" t="s">
        <v>479</v>
      </c>
    </row>
  </sheetData>
  <mergeCells count="8">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2026-06-30T09:50:12Z</dcterms:created>
  <dc:creator>openpyxl</dc:creator>
  <dc:description/>
  <dc:language>en-US</dc:language>
  <cp:lastModifiedBy/>
  <dcterms:modified xsi:type="dcterms:W3CDTF">2026-07-04T04:37:19Z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