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iling_Instructions" sheetId="1" state="visible" r:id="rId1"/>
    <sheet xmlns:r="http://schemas.openxmlformats.org/officeDocument/2006/relationships" name="Amendment_Summary" sheetId="2" state="visible" r:id="rId2"/>
    <sheet xmlns:r="http://schemas.openxmlformats.org/officeDocument/2006/relationships" name="Revenue_Support" sheetId="3" state="visible" r:id="rId3"/>
    <sheet xmlns:r="http://schemas.openxmlformats.org/officeDocument/2006/relationships" name="COGS_Inventory" sheetId="4" state="visible" r:id="rId4"/>
    <sheet xmlns:r="http://schemas.openxmlformats.org/officeDocument/2006/relationships" name="Expense_Detail" sheetId="5" state="visible" r:id="rId5"/>
    <sheet xmlns:r="http://schemas.openxmlformats.org/officeDocument/2006/relationships" name="Reconciliation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CC0000"/>
      <sz val="11"/>
    </font>
    <font>
      <name val="Cambria"/>
      <charset val="1"/>
      <family val="0"/>
      <b val="1"/>
      <color rgb="FF1F7A1F"/>
      <sz val="11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FFD9D9D9"/>
        <b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4" min="1" max="1"/>
  </cols>
  <sheetData>
    <row r="1" ht="17.25" customHeight="1" s="15">
      <c r="A1" s="16" t="inlineStr">
        <is>
          <t>Social Gear Media LLC — 2024 Form 1120-S AMENDMENT PACKET</t>
        </is>
      </c>
    </row>
    <row r="2" ht="15" customHeight="1" s="15">
      <c r="A2" s="17" t="inlineStr">
        <is>
          <t>EIN 83-3077502  |  Prepared for CPA to file Form 1120-S (amended, box H(4) checked) + amended Schedule K-1</t>
        </is>
      </c>
    </row>
    <row r="3" ht="15" customHeight="1" s="15">
      <c r="A3" s="18" t="n"/>
    </row>
    <row r="4" ht="15" customHeight="1" s="15">
      <c r="A4" s="19" t="inlineStr">
        <is>
          <t>WHAT THIS PACKET CONTAINS:</t>
        </is>
      </c>
    </row>
    <row r="5" ht="15" customHeight="1" s="15">
      <c r="A5" s="18" t="inlineStr">
        <is>
          <t xml:space="preserve">  Tab 2 (Amendment_Summary): the exact line-by-line changes from the originally filed return to the amended figures.</t>
        </is>
      </c>
    </row>
    <row r="6" ht="15" customHeight="1" s="15">
      <c r="A6" s="18" t="inlineStr">
        <is>
          <t xml:space="preserve">  Tab 3 (Revenue_Support): revenue restated to $560,938 from 906 classified bank deposits (ties to statements to the penny).</t>
        </is>
      </c>
    </row>
    <row r="7" ht="15" customHeight="1" s="15">
      <c r="A7" s="18" t="inlineStr">
        <is>
          <t xml:space="preserve">  Tab 4 (COGS_Inventory): COGS restated to $393,532 = $455,932 bank-verified purchases minus $62,400 ending inventory.</t>
        </is>
      </c>
    </row>
    <row r="8" ht="15" customHeight="1" s="15">
      <c r="A8" s="18" t="inlineStr">
        <is>
          <t xml:space="preserve">  Tab 5 (Expense_Detail): full 12-month bank-reconstructed deductible expenses by category, to support/cross-check deduction lines.</t>
        </is>
      </c>
    </row>
    <row r="9" ht="15" customHeight="1" s="15">
      <c r="A9" s="18" t="inlineStr">
        <is>
          <t xml:space="preserve">  Tab 6 (Reconciliation): all 12 months tie to bank statement debit totals.</t>
        </is>
      </c>
    </row>
    <row r="10" ht="15" customHeight="1" s="15">
      <c r="A10" s="18" t="n"/>
    </row>
    <row r="11" ht="15" customHeight="1" s="15">
      <c r="A11" s="19" t="inlineStr">
        <is>
          <t>HEADLINE RESULT:</t>
        </is>
      </c>
    </row>
    <row r="12" ht="15" customHeight="1" s="15">
      <c r="A12" s="18" t="inlineStr">
        <is>
          <t xml:space="preserve">  Revenue:  $418,990 -&gt; $560,938  (+$141,948)</t>
        </is>
      </c>
    </row>
    <row r="13" ht="15" customHeight="1" s="15">
      <c r="A13" s="18" t="inlineStr">
        <is>
          <t xml:space="preserve">  COGS:     $270,032 -&gt; $393,532  (+$123,500 additional deduction)</t>
        </is>
      </c>
    </row>
    <row r="14" ht="15" customHeight="1" s="15">
      <c r="A14" s="18" t="inlineStr">
        <is>
          <t xml:space="preserve">  Net effect on ordinary income: approximately +$18,448 (loss shrinks from -$33,351 to approximately -$14,903).</t>
        </is>
      </c>
    </row>
    <row r="15" ht="15" customHeight="1" s="15">
      <c r="A15" s="18" t="inlineStr">
        <is>
          <t xml:space="preserve">  Likely NO cash tax due (remains a passthrough loss); confirm against shareholder basis and other 1040 items.</t>
        </is>
      </c>
    </row>
    <row r="16" ht="15" customHeight="1" s="15">
      <c r="A16" s="18" t="n"/>
    </row>
    <row r="17" ht="15" customHeight="1" s="15">
      <c r="A17" s="19" t="inlineStr">
        <is>
          <t>BASIS OF FILING (decisions already made by management):</t>
        </is>
      </c>
    </row>
    <row r="18" ht="15" customHeight="1" s="15">
      <c r="A18" s="18" t="inlineStr">
        <is>
          <t xml:space="preserve">  • Revenue reported NET of platform fees ($560,938) — matches bank deposits exactly. NOT grossed-up.</t>
        </is>
      </c>
    </row>
    <row r="19" ht="15" customHeight="1" s="15">
      <c r="A19" s="18" t="inlineStr">
        <is>
          <t xml:space="preserve">  • Cyberbrands LLC is a SEPARATE taxpayer (own stores, own account, own Schedule C) — EXCLUDED entirely.</t>
        </is>
      </c>
    </row>
    <row r="20" ht="15" customHeight="1" s="15">
      <c r="A20" s="18" t="inlineStr">
        <is>
          <t xml:space="preserve">  • Teslarati, Shaed, Munro receipts ($65,349) = consulting, NOT SGM Splitflask — excluded from SGM revenue.</t>
        </is>
      </c>
    </row>
    <row r="21" ht="15" customHeight="1" s="15">
      <c r="A21" s="18" t="inlineStr">
        <is>
          <t xml:space="preserve">  • Inter-account transfers, founder/family loans, refunds = non-revenue, excluded.</t>
        </is>
      </c>
    </row>
    <row r="22" ht="15" customHeight="1" s="15">
      <c r="A22" s="18" t="n"/>
    </row>
    <row r="23" ht="15" customHeight="1" s="15">
      <c r="A23" s="19" t="inlineStr">
        <is>
          <t>THREE ITEMS FOR CPA JUDGMENT BEFORE FILING:</t>
        </is>
      </c>
    </row>
    <row r="24" ht="15" customHeight="1" s="15">
      <c r="A24" s="18" t="inlineStr">
        <is>
          <t xml:space="preserve">  1. COGS METHOD: Restate total COGS to $393,532 (rebuild from purchases - ending inventory). Do NOT add $123,500 on top of the</t>
        </is>
      </c>
    </row>
    <row r="25" ht="15" customHeight="1" s="15">
      <c r="A25" s="18" t="inlineStr">
        <is>
          <t xml:space="preserve">     filed $270,032 — REPLACE the line. This avoids any double-count question about what the original $270,032 contained.</t>
        </is>
      </c>
    </row>
    <row r="26" ht="15" customHeight="1" s="15">
      <c r="A26" s="18" t="inlineStr">
        <is>
          <t xml:space="preserve">  2. ENDING INVENTORY: $62,400 = 6,000 units x $10.40 landed. Supported by a physical photo count dated 12/24/2024.</t>
        </is>
      </c>
    </row>
    <row r="27" ht="15" customHeight="1" s="15">
      <c r="A27" s="18" t="inlineStr">
        <is>
          <t xml:space="preserve">     Corroborate against the Veeqo year-end on-hand report if available. Note the count date (12/24) precedes year-end (12/31);</t>
        </is>
      </c>
    </row>
    <row r="28" ht="15" customHeight="1" s="15">
      <c r="A28" s="18" t="inlineStr">
        <is>
          <t xml:space="preserve">     true 12/31 inventory may be slightly lower (favorable). Apply the inventory method consistent with the books (FIFO/average).</t>
        </is>
      </c>
    </row>
    <row r="29" ht="15" customHeight="1" s="15">
      <c r="A29" s="18" t="inlineStr">
        <is>
          <t xml:space="preserve">  3. WIRE TIMING: Confirm all $455,932 of factory wires were for goods RECEIVED in 2024. Any prepayment for goods that arrived</t>
        </is>
      </c>
    </row>
    <row r="30" ht="15" customHeight="1" s="15">
      <c r="A30" s="18" t="inlineStr">
        <is>
          <t xml:space="preserve">     in 2025 should be treated as 2025 inventory/COGS, not 2024. Adjust purchases if applicable.</t>
        </is>
      </c>
    </row>
    <row r="31" ht="15" customHeight="1" s="15">
      <c r="A31" s="18" t="n"/>
    </row>
    <row r="32" ht="15" customHeight="1" s="15">
      <c r="A32" s="18" t="inlineStr">
        <is>
          <t>PREPARER NOTE: The originally filed return was built from an incomplete bookkeeping P&amp;L (net income $3,166 / filed loss -$33,351),</t>
        </is>
      </c>
    </row>
    <row r="33" ht="15" customHeight="1" s="15">
      <c r="A33" s="18" t="inlineStr">
        <is>
          <t>not from the bank statements. Both revenue AND expenses were understated. This amendment restates both sides from the bank record.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4" min="1" max="1"/>
    <col width="14" customWidth="1" style="14" min="2" max="3"/>
    <col width="13" customWidth="1" style="14" min="4" max="4"/>
    <col width="50" customWidth="1" style="14" min="5" max="5"/>
  </cols>
  <sheetData>
    <row r="1" ht="17.25" customHeight="1" s="15">
      <c r="A1" s="16" t="inlineStr">
        <is>
          <t>Form 1120-S — Line-by-Line: As Filed vs Amended</t>
        </is>
      </c>
    </row>
    <row r="3" ht="15" customHeight="1" s="15">
      <c r="A3" s="20" t="inlineStr">
        <is>
          <t>Form 1120-S line</t>
        </is>
      </c>
      <c r="B3" s="20" t="inlineStr">
        <is>
          <t>As Filed ($)</t>
        </is>
      </c>
      <c r="C3" s="20" t="inlineStr">
        <is>
          <t>Amended ($)</t>
        </is>
      </c>
      <c r="D3" s="20" t="inlineStr">
        <is>
          <t>Change ($)</t>
        </is>
      </c>
      <c r="E3" s="20" t="inlineStr">
        <is>
          <t>Source / note</t>
        </is>
      </c>
    </row>
    <row r="4" ht="30" customHeight="1" s="15">
      <c r="A4" s="21" t="inlineStr">
        <is>
          <t>1a Gross receipts or sales</t>
        </is>
      </c>
      <c r="B4" s="21" t="n">
        <v>418990</v>
      </c>
      <c r="C4" s="21" t="n">
        <v>560938</v>
      </c>
      <c r="D4" s="22" t="n">
        <v>141948</v>
      </c>
      <c r="E4" s="23" t="inlineStr">
        <is>
          <t>Tab 3 — 906 classified bank deposits, net of platform fees</t>
        </is>
      </c>
    </row>
    <row r="5" ht="30" customHeight="1" s="15">
      <c r="A5" s="21" t="inlineStr">
        <is>
          <t>2 Cost of goods sold (Form 1125-A)</t>
        </is>
      </c>
      <c r="B5" s="21" t="n">
        <v>270032</v>
      </c>
      <c r="C5" s="21" t="n">
        <v>393532</v>
      </c>
      <c r="D5" s="22" t="n">
        <v>123500</v>
      </c>
      <c r="E5" s="23" t="inlineStr">
        <is>
          <t>Tab 4 — $455,932 purchases less $62,400 ending inventory</t>
        </is>
      </c>
    </row>
    <row r="6" ht="30" customHeight="1" s="15">
      <c r="A6" s="21" t="inlineStr">
        <is>
          <t>3 Gross profit</t>
        </is>
      </c>
      <c r="B6" s="21" t="n">
        <v>148958</v>
      </c>
      <c r="C6" s="21" t="n">
        <v>167406</v>
      </c>
      <c r="D6" s="22" t="n">
        <v>18448</v>
      </c>
      <c r="E6" s="23" t="inlineStr">
        <is>
          <t>Equals 1a minus 2</t>
        </is>
      </c>
    </row>
    <row r="7" ht="30" customHeight="1" s="15">
      <c r="A7" s="21" t="inlineStr">
        <is>
          <t>11 Rents</t>
        </is>
      </c>
      <c r="B7" s="21" t="n">
        <v>22500</v>
      </c>
      <c r="C7" s="21" t="n">
        <v>30241</v>
      </c>
      <c r="D7" s="22" t="n">
        <v>7741</v>
      </c>
      <c r="E7" s="23" t="inlineStr">
        <is>
          <t>Tab 5 — warehouse (Della Moda, Chamasmani, Royceton storage)</t>
        </is>
      </c>
    </row>
    <row r="8" ht="30" customHeight="1" s="15">
      <c r="A8" s="21" t="inlineStr">
        <is>
          <t>13 Interest</t>
        </is>
      </c>
      <c r="B8" s="21" t="n">
        <v>9528</v>
      </c>
      <c r="C8" s="21" t="n">
        <v>9528</v>
      </c>
      <c r="D8" s="21" t="n">
        <v>0</v>
      </c>
      <c r="E8" s="23" t="inlineStr">
        <is>
          <t>Unchanged (verify SBA/Tesla interest split)</t>
        </is>
      </c>
    </row>
    <row r="9" ht="30" customHeight="1" s="15">
      <c r="A9" s="21" t="inlineStr">
        <is>
          <t>16 Advertising</t>
        </is>
      </c>
      <c r="B9" s="21" t="n">
        <v>6901</v>
      </c>
      <c r="C9" s="21" t="n">
        <v>6368</v>
      </c>
      <c r="D9" s="22" t="n">
        <v>-533</v>
      </c>
      <c r="E9" s="23" t="inlineStr">
        <is>
          <t>Tab 5 — Facebook/TikTok (bank shows slightly less; CPA confirm)</t>
        </is>
      </c>
    </row>
    <row r="10" ht="30" customHeight="1" s="15">
      <c r="A10" s="21" t="inlineStr">
        <is>
          <t>20 Other deductions</t>
        </is>
      </c>
      <c r="B10" s="21" t="n">
        <v>107380</v>
      </c>
      <c r="C10" s="21" t="n">
        <v>107380</v>
      </c>
      <c r="D10" s="21" t="n">
        <v>0</v>
      </c>
      <c r="E10" s="23" t="inlineStr">
        <is>
          <t>HOLD — CPA to reconcile against Tab 5 (SaaS, professional, commissions, taxes, bank, office). May increase.</t>
        </is>
      </c>
    </row>
    <row r="11" ht="30" customHeight="1" s="15">
      <c r="A11" s="21" t="inlineStr">
        <is>
          <t>22 Ordinary business income (loss)</t>
        </is>
      </c>
      <c r="B11" s="21" t="n">
        <v>-33351</v>
      </c>
      <c r="C11" s="21" t="n">
        <v>-14903</v>
      </c>
      <c r="D11" s="24" t="n">
        <v>18448</v>
      </c>
      <c r="E11" s="23" t="inlineStr">
        <is>
          <t>Net effect; refine after line 20 reconciliation</t>
        </is>
      </c>
    </row>
    <row r="13" ht="60" customHeight="1" s="15">
      <c r="A13" s="18" t="inlineStr">
        <is>
          <t>NOTE on line 20: The bank-reconstructed non-COGS deductibles (SaaS $61,180 + Professional $26,913 + Commissions $10,638 + Taxes $4,505 + Bank $1,140 + Office $2,607 = $107,983) are close to the filed $107,380 — suggesting the original DID capture most operating expenses even though it missed revenue and COGS. CPA should confirm whether line 20 needs adjustment or is already substantially correct.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8" customWidth="1" style="14" min="1" max="1"/>
    <col width="16" customWidth="1" style="14" min="2" max="2"/>
  </cols>
  <sheetData>
    <row r="1" ht="17.25" customHeight="1" s="15">
      <c r="A1" s="16" t="inlineStr">
        <is>
          <t>Revenue Restatement — $560,938 (net of platform fees)</t>
        </is>
      </c>
    </row>
    <row r="2" ht="27.75" customHeight="1" s="15">
      <c r="A2" s="18" t="inlineStr">
        <is>
          <t>From full classification of all 906 deposit lines. See separate file SGM_2024_Deposit_Classification_Schedule_v4 for line detail.</t>
        </is>
      </c>
    </row>
    <row r="4" ht="15" customHeight="1" s="15">
      <c r="A4" s="25" t="inlineStr">
        <is>
          <t>Item</t>
        </is>
      </c>
      <c r="B4" s="25" t="inlineStr">
        <is>
          <t>Amount ($)</t>
        </is>
      </c>
    </row>
    <row r="5" ht="15" customHeight="1" s="15">
      <c r="A5" s="18" t="inlineStr">
        <is>
          <t>Total 2024 bank deposits (ties to statements)</t>
        </is>
      </c>
      <c r="B5" s="14" t="n">
        <v>895754.12</v>
      </c>
    </row>
    <row r="6" ht="27.75" customHeight="1" s="15">
      <c r="A6" s="18" t="inlineStr">
        <is>
          <t>Less: non-revenue (founder/family loans, refunds, inter-account transfers, interest)</t>
        </is>
      </c>
      <c r="B6" s="14" t="n">
        <v>-269467.48</v>
      </c>
    </row>
    <row r="7" ht="15" customHeight="1" s="15">
      <c r="A7" s="18" t="inlineStr">
        <is>
          <t>Less: non-SGM consulting (Teslarati, Shaed, Munro)</t>
        </is>
      </c>
      <c r="B7" s="14" t="n">
        <v>-65348.68</v>
      </c>
    </row>
    <row r="8" ht="15" customHeight="1" s="15">
      <c r="A8" s="19" t="inlineStr">
        <is>
          <t>Equals: SGM Splitflask revenue, net of platform fees (AMENDED LINE 1a)</t>
        </is>
      </c>
      <c r="B8" s="17" t="n">
        <v>560937.96</v>
      </c>
    </row>
    <row r="9" ht="15" customHeight="1" s="15">
      <c r="A9" s="18" t="inlineStr">
        <is>
          <t>Originally filed gross receipts</t>
        </is>
      </c>
      <c r="B9" s="14" t="n">
        <v>418990</v>
      </c>
    </row>
    <row r="10" ht="15" customHeight="1" s="15">
      <c r="A10" s="19" t="inlineStr">
        <is>
          <t>Revenue increase</t>
        </is>
      </c>
      <c r="B10" s="17" t="n">
        <v>141947.96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14" min="1" max="1"/>
    <col width="18" customWidth="1" style="14" min="2" max="2"/>
    <col width="58" customWidth="1" style="14" min="3" max="3"/>
  </cols>
  <sheetData>
    <row r="1" ht="17.25" customHeight="1" s="15">
      <c r="A1" s="16" t="inlineStr">
        <is>
          <t>COGS Restatement &amp; Ending Inventory (Form 1125-A)</t>
        </is>
      </c>
    </row>
    <row r="2"/>
    <row r="3" ht="30" customHeight="1" s="15">
      <c r="A3" s="26" t="inlineStr">
        <is>
          <t>Form 1125-A line</t>
        </is>
      </c>
      <c r="B3" s="26" t="inlineStr">
        <is>
          <t>Amended value ($)</t>
        </is>
      </c>
      <c r="C3" s="26" t="inlineStr">
        <is>
          <t>Note</t>
        </is>
      </c>
    </row>
    <row r="4" ht="30" customHeight="1" s="15">
      <c r="A4" s="23" t="inlineStr">
        <is>
          <t>1 Inventory at beginning of year</t>
        </is>
      </c>
      <c r="B4" s="23" t="n">
        <v>0</v>
      </c>
      <c r="C4" s="23" t="inlineStr">
        <is>
          <t>Per filed return; confirm no 12/31/23 carryover</t>
        </is>
      </c>
    </row>
    <row r="5" ht="30" customHeight="1" s="15">
      <c r="A5" s="23" t="inlineStr">
        <is>
          <t>2 Purchases</t>
        </is>
      </c>
      <c r="B5" s="23" t="n">
        <v>455932.1</v>
      </c>
      <c r="C5" s="23" t="inlineStr">
        <is>
          <t>Bank-verified factory wires: Kangdao, Tuowei Baina, Wangbuliao Leather, Zunhuang freight, Alibaba, Uline</t>
        </is>
      </c>
    </row>
    <row r="6" ht="30" customHeight="1" s="15">
      <c r="A6" s="23" t="inlineStr">
        <is>
          <t>5 Other costs</t>
        </is>
      </c>
      <c r="B6" s="23" t="n">
        <v>0</v>
      </c>
      <c r="C6" s="23" t="inlineStr">
        <is>
          <t>Was $270,032 (the entire filed COGS lump). Now itemized to Purchases. CPA confirm no residual belongs here.</t>
        </is>
      </c>
    </row>
    <row r="7" ht="30" customHeight="1" s="15">
      <c r="A7" s="23" t="inlineStr">
        <is>
          <t>6 Total</t>
        </is>
      </c>
      <c r="B7" s="23" t="n">
        <v>455932.1</v>
      </c>
      <c r="C7" s="23" t="inlineStr">
        <is>
          <t>Purchases minus ending inventory equals COGS</t>
        </is>
      </c>
    </row>
    <row r="8" ht="30" customHeight="1" s="15">
      <c r="A8" s="23" t="inlineStr">
        <is>
          <t>7 Inventory at end of year</t>
        </is>
      </c>
      <c r="B8" s="23" t="n">
        <v>62400</v>
      </c>
      <c r="C8" s="23" t="inlineStr">
        <is>
          <t>6,000 units x $10.40 landed cost. Photo count dated 12/24/2024. Corroborate w/ Veeqo year-end report.</t>
        </is>
      </c>
    </row>
    <row r="9" ht="30" customHeight="1" s="15">
      <c r="A9" s="27" t="inlineStr">
        <is>
          <t>8 COST OF GOODS SOLD (to page 1 line 2)</t>
        </is>
      </c>
      <c r="B9" s="23" t="n">
        <v>393532.1</v>
      </c>
      <c r="C9" s="23" t="inlineStr">
        <is>
          <t>Total (sum of lines 1 through 5)</t>
        </is>
      </c>
    </row>
    <row r="10"/>
    <row r="11" ht="41.25" customHeight="1" s="15">
      <c r="A11" s="18" t="inlineStr">
        <is>
          <t>Unit economics: $9.60 product + $1.30 freight = $10.40 landed per unit (management-provided). Ending qty 6,000 units.</t>
        </is>
      </c>
    </row>
    <row r="12"/>
    <row r="13"/>
    <row r="14">
      <c r="A14" s="28" t="inlineStr">
        <is>
          <t>FLAGGED CORRECTION FOR CPA — Mold reclassification (added 7/6/26)</t>
        </is>
      </c>
    </row>
    <row r="15" ht="210" customHeight="1" s="15">
      <c r="A15" s="29" t="inlineStr">
        <is>
          <t>MOLD RECLASSIFICATION — CONFIRMED vs. TO-VERIFY. Two Kangdao wires match the $8,733.33 phase amount of the Aug-2024 mold agreement ($26,200 / 3 phases): (A) 12/13/2024 $8,733.33 (wire Fed#02537) — EXACT match, this is mold, RECLASSIFY with confidence. (B) 9/10/2024 $8,733.00 (wire Fed#04831) — 33 cents short of a phase AND sits among September product wires ($10,800 on 9/3, $15,000 on 9/18, $15,000 on 9/30 tied to the 9/14/2024 invoice for 15,000 units @ $9.40). This one is AMBIGUOUS — could be product, not mold. DO NOT reclassify (B) until confirmed with Kangdao. TREATMENT: remove $8,733.33 (confirmed) from Purchases (Line 2 -&gt; $447,198.77); capitalize as Mold/Tooling asset; elect Section 179 to keep the deduction in 2024 (net income ~unchanged, stays approx -$14,903 loss). IF (B) is later confirmed as mold, remove an additional $8,733.00 (combined $17,466.33) and COGS becomes $376,065.77. Materiality: $8,733 confirmed = 1.6% of revenue; $17,466 if both = 3.1%. Backup: signed Aug-2024 "40oz double lid-handle prototype development and mold creation" agreement on file. This is a classification cleanup, not a tax play; CPA (TJ) to make the 179 election and confirm wire (B) with the factory.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20" customWidth="1" style="14" min="2" max="2"/>
    <col width="44" customWidth="1" style="14" min="3" max="3"/>
  </cols>
  <sheetData>
    <row r="1" ht="17.25" customHeight="1" s="15">
      <c r="A1" s="16" t="inlineStr">
        <is>
          <t>Bank-Reconstructed Deductible Expenses by Category (full year 2024)</t>
        </is>
      </c>
    </row>
    <row r="2" ht="54.75" customHeight="1" s="15">
      <c r="A2" s="18" t="inlineStr">
        <is>
          <t>For cross-checking the filed deduction lines. COGS shown separately above. These support lines 11-20.</t>
        </is>
      </c>
    </row>
    <row r="4" ht="15" customHeight="1" s="15">
      <c r="A4" s="25" t="inlineStr">
        <is>
          <t>Category</t>
        </is>
      </c>
      <c r="B4" s="25" t="inlineStr">
        <is>
          <t>2024 Bank Actual ($)</t>
        </is>
      </c>
      <c r="C4" s="25" t="inlineStr">
        <is>
          <t>Maps to 1120-S line</t>
        </is>
      </c>
    </row>
    <row r="5" ht="15" customHeight="1" s="15">
      <c r="A5" s="14" t="inlineStr">
        <is>
          <t>RENT</t>
        </is>
      </c>
      <c r="B5" s="14" t="n">
        <v>30240.71</v>
      </c>
      <c r="C5" s="18" t="inlineStr">
        <is>
          <t>Rents (line 11)</t>
        </is>
      </c>
    </row>
    <row r="6" ht="15" customHeight="1" s="15">
      <c r="A6" s="14" t="inlineStr">
        <is>
          <t>ADV</t>
        </is>
      </c>
      <c r="B6" s="14" t="n">
        <v>6368.11</v>
      </c>
      <c r="C6" s="18" t="inlineStr">
        <is>
          <t>Advertising (line 16)</t>
        </is>
      </c>
    </row>
    <row r="7" ht="15" customHeight="1" s="15">
      <c r="A7" s="14" t="inlineStr">
        <is>
          <t>TAX</t>
        </is>
      </c>
      <c r="B7" s="14" t="n">
        <v>4505.14</v>
      </c>
      <c r="C7" s="18" t="inlineStr">
        <is>
          <t>Taxes &amp; licenses (line 12)</t>
        </is>
      </c>
    </row>
    <row r="8" ht="15" customHeight="1" s="15">
      <c r="A8" s="14" t="inlineStr">
        <is>
          <t>SAAS</t>
        </is>
      </c>
      <c r="B8" s="14" t="n">
        <v>61180</v>
      </c>
      <c r="C8" s="18" t="inlineStr">
        <is>
          <t>Other deductions (software/subscriptions)</t>
        </is>
      </c>
    </row>
    <row r="9" ht="15" customHeight="1" s="15">
      <c r="A9" s="14" t="inlineStr">
        <is>
          <t>PROF</t>
        </is>
      </c>
      <c r="B9" s="14" t="n">
        <v>26912.54</v>
      </c>
      <c r="C9" s="18" t="inlineStr">
        <is>
          <t>Legal &amp; professional (line 20/other)</t>
        </is>
      </c>
    </row>
    <row r="10" ht="15" customHeight="1" s="15">
      <c r="A10" s="14" t="inlineStr">
        <is>
          <t>COMM</t>
        </is>
      </c>
      <c r="B10" s="14" t="n">
        <v>10638.27</v>
      </c>
      <c r="C10" s="18" t="inlineStr">
        <is>
          <t>Commissions (line 20)</t>
        </is>
      </c>
    </row>
    <row r="11" ht="15" customHeight="1" s="15">
      <c r="A11" s="14" t="inlineStr">
        <is>
          <t>BANK</t>
        </is>
      </c>
      <c r="B11" s="14" t="n">
        <v>1140</v>
      </c>
      <c r="C11" s="18" t="inlineStr">
        <is>
          <t>Bank charges (line 20)</t>
        </is>
      </c>
    </row>
    <row r="12" ht="15" customHeight="1" s="15">
      <c r="A12" s="14" t="inlineStr">
        <is>
          <t>OFFICE</t>
        </is>
      </c>
      <c r="B12" s="14" t="n">
        <v>2606.81</v>
      </c>
      <c r="C12" s="18" t="inlineStr">
        <is>
          <t>Office (line 20)</t>
        </is>
      </c>
    </row>
    <row r="13" ht="15" customHeight="1" s="15">
      <c r="A13" s="17" t="inlineStr">
        <is>
          <t>Subtotal non-COGS deductible</t>
        </is>
      </c>
      <c r="B13" s="17">
        <f>SUM(B5:B12)</f>
        <v/>
      </c>
    </row>
    <row r="15" ht="48" customHeight="1" s="15">
      <c r="A15" s="18" t="inlineStr">
        <is>
          <t>EXCLUDED (non-deductible): owner draws $133,510; inter-account transfers $69,501; Amex payments $23,676 (retired pre-2024 balance, card bought nothing in 2024); Tesla lease; Parafin MCA principal; SBA principal. Only SBA/Tesla INTEREST is deductible (see filed line 13).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4" min="1" max="1"/>
    <col width="20" customWidth="1" style="14" min="2" max="3"/>
    <col width="10" customWidth="1" style="14" min="4" max="4"/>
  </cols>
  <sheetData>
    <row r="1" ht="17.25" customHeight="1" s="15">
      <c r="A1" s="16" t="inlineStr">
        <is>
          <t>Bank Reconciliation — All 12 Months Tie to Statement Debit Totals</t>
        </is>
      </c>
    </row>
    <row r="3" ht="15" customHeight="1" s="15">
      <c r="A3" s="25" t="inlineStr">
        <is>
          <t>Month</t>
        </is>
      </c>
      <c r="B3" s="25" t="inlineStr">
        <is>
          <t>Classified debits ($)</t>
        </is>
      </c>
      <c r="C3" s="25" t="inlineStr">
        <is>
          <t>Statement total ($)</t>
        </is>
      </c>
      <c r="D3" s="25" t="inlineStr">
        <is>
          <t>Diff</t>
        </is>
      </c>
    </row>
    <row r="4" ht="15" customHeight="1" s="15">
      <c r="A4" s="14" t="inlineStr">
        <is>
          <t>Jan</t>
        </is>
      </c>
      <c r="B4" s="14" t="n">
        <v>24982.18</v>
      </c>
      <c r="C4" s="14" t="n">
        <v>24982.18</v>
      </c>
      <c r="D4" s="14" t="n">
        <v>0</v>
      </c>
    </row>
    <row r="5" ht="15" customHeight="1" s="15">
      <c r="A5" s="14" t="inlineStr">
        <is>
          <t>Feb</t>
        </is>
      </c>
      <c r="B5" s="14" t="n">
        <v>36773.94</v>
      </c>
      <c r="C5" s="14" t="n">
        <v>36773.94</v>
      </c>
      <c r="D5" s="14" t="n">
        <v>0</v>
      </c>
    </row>
    <row r="6" ht="15" customHeight="1" s="15">
      <c r="A6" s="14" t="inlineStr">
        <is>
          <t>Mar</t>
        </is>
      </c>
      <c r="B6" s="14" t="n">
        <v>18088.77</v>
      </c>
      <c r="C6" s="14" t="n">
        <v>18088.77</v>
      </c>
      <c r="D6" s="14" t="n">
        <v>0</v>
      </c>
    </row>
    <row r="7" ht="15" customHeight="1" s="15">
      <c r="A7" s="14" t="inlineStr">
        <is>
          <t>Apr</t>
        </is>
      </c>
      <c r="B7" s="14" t="n">
        <v>97180.39999999999</v>
      </c>
      <c r="C7" s="14" t="n">
        <v>97180.39999999999</v>
      </c>
      <c r="D7" s="14" t="n">
        <v>0</v>
      </c>
    </row>
    <row r="8" ht="15" customHeight="1" s="15">
      <c r="A8" s="14" t="inlineStr">
        <is>
          <t>May</t>
        </is>
      </c>
      <c r="B8" s="14" t="n">
        <v>138358.03</v>
      </c>
      <c r="C8" s="14" t="n">
        <v>138358.03</v>
      </c>
      <c r="D8" s="14" t="n">
        <v>0</v>
      </c>
    </row>
    <row r="9" ht="15" customHeight="1" s="15">
      <c r="A9" s="14" t="inlineStr">
        <is>
          <t>Jun</t>
        </is>
      </c>
      <c r="B9" s="14" t="n">
        <v>90137.39</v>
      </c>
      <c r="C9" s="14" t="n">
        <v>90137.39</v>
      </c>
      <c r="D9" s="14" t="n">
        <v>0</v>
      </c>
    </row>
    <row r="10" ht="15" customHeight="1" s="15">
      <c r="A10" s="14" t="inlineStr">
        <is>
          <t>Jul</t>
        </is>
      </c>
      <c r="B10" s="14" t="n">
        <v>98074.5</v>
      </c>
      <c r="C10" s="14" t="n">
        <v>98074.5</v>
      </c>
      <c r="D10" s="14" t="n">
        <v>0</v>
      </c>
    </row>
    <row r="11" ht="15" customHeight="1" s="15">
      <c r="A11" s="14" t="inlineStr">
        <is>
          <t>Aug</t>
        </is>
      </c>
      <c r="B11" s="14" t="n">
        <v>88975.34</v>
      </c>
      <c r="C11" s="14" t="n">
        <v>88975.34</v>
      </c>
      <c r="D11" s="14" t="n">
        <v>0</v>
      </c>
    </row>
    <row r="12" ht="15" customHeight="1" s="15">
      <c r="A12" s="14" t="inlineStr">
        <is>
          <t>Sep</t>
        </is>
      </c>
      <c r="B12" s="14" t="n">
        <v>117280.54</v>
      </c>
      <c r="C12" s="14" t="n">
        <v>117280.54</v>
      </c>
      <c r="D12" s="14" t="n">
        <v>0</v>
      </c>
    </row>
    <row r="13" ht="15" customHeight="1" s="15">
      <c r="A13" s="14" t="inlineStr">
        <is>
          <t>Oct</t>
        </is>
      </c>
      <c r="B13" s="14" t="n">
        <v>53711.03</v>
      </c>
      <c r="C13" s="14" t="n">
        <v>53711.03</v>
      </c>
      <c r="D13" s="14" t="n">
        <v>0</v>
      </c>
    </row>
    <row r="14" ht="15" customHeight="1" s="15">
      <c r="A14" s="14" t="inlineStr">
        <is>
          <t>Nov</t>
        </is>
      </c>
      <c r="B14" s="14" t="n">
        <v>32303.98</v>
      </c>
      <c r="C14" s="14" t="n">
        <v>32303.98</v>
      </c>
      <c r="D14" s="14" t="n">
        <v>0</v>
      </c>
    </row>
    <row r="15" ht="15" customHeight="1" s="15">
      <c r="A15" s="14" t="inlineStr">
        <is>
          <t>Dec</t>
        </is>
      </c>
      <c r="B15" s="14" t="n">
        <v>92689.03999999999</v>
      </c>
      <c r="C15" s="14" t="n">
        <v>92689.03999999999</v>
      </c>
      <c r="D15" s="14" t="n">
        <v>0</v>
      </c>
    </row>
    <row r="16" ht="15" customHeight="1" s="15">
      <c r="A16" s="17" t="inlineStr">
        <is>
          <t>TOTAL</t>
        </is>
      </c>
      <c r="B16" s="17">
        <f>SUM(B4:B15)</f>
        <v/>
      </c>
      <c r="C16" s="17" t="n">
        <v>888555.14</v>
      </c>
    </row>
    <row r="17" ht="30" customHeight="1" s="15">
      <c r="A17" s="18" t="inlineStr">
        <is>
          <t>Deposits side separately ties to $895,754.12 (see deposit classification schedule). Reconstruction accuracy: within $10.45 across $888,555 of debits.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2026-07-06T04:52:31Z</dcterms:created>
  <dcterms:modified xmlns:dcterms="http://purl.org/dc/terms/" xmlns:xsi="http://www.w3.org/2001/XMLSchema-instance" xsi:type="dcterms:W3CDTF">2026-07-07T03:02:41Z</dcterms:modified>
  <cp:revision>0</cp:revision>
</cp:coreProperties>
</file>