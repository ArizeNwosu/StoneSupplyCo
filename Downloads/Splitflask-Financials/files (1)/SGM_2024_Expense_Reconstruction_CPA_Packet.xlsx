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_Methodology" sheetId="1" state="visible" r:id="rId3"/>
    <sheet name="Deductible_PL_TaxLines" sheetId="2" state="visible" r:id="rId4"/>
    <sheet name="Monthly_Detail_AllCategories" sheetId="3" state="visible" r:id="rId5"/>
    <sheet name="NonDeductible_Financing" sheetId="4" state="visible" r:id="rId6"/>
    <sheet name="Amendment_NetImpac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<sst xmlns="http://schemas.openxmlformats.org/spreadsheetml/2006/main" count="95" uniqueCount="94">
  <si>
    <t xml:space="preserve">SGM 2024 Expense Reconstruction — FULL YEAR — CPA Amendment Packet</t>
  </si>
  <si>
    <t xml:space="preserve">PURPOSE: Reconstruct Social Gear Media LLC's complete 2024 deductible expenses from the operating bank account (Wells Fargo #...8625), to support an amended 2024 Form 1120-S filed alongside the revenue restatement.</t>
  </si>
  <si>
    <t xml:space="preserve">DATA STATUS: All 12 months read line-by-line. Classified debits total $888,153 vs statement debit total $888,555 — reconciled within $402 (0.045%). Remaining small gaps are uncaptured owner Venmo micro-payments (all non-deductible, so they do NOT affect the deductible totals). Months tying exactly: Jan, Feb, Apr, May, Aug, Sep. Within rounding: Mar, Jun, Oct. Small gaps (owner draws): Jul, Nov, Dec.</t>
  </si>
  <si>
    <t xml:space="preserve">THE CENTRAL AMENDMENT QUESTION (must be resolved by CPA before filing):</t>
  </si>
  <si>
    <t xml:space="preserve">  Filed 2024 COGS was $270,032. Bank-reconstructed COGS is $455,932 — a $185,900 difference that nearly offsets the revenue understatement (~$142K net / ~$221K gross).</t>
  </si>
  <si>
    <t xml:space="preserve">  IF the filed $270,032 did NOT already include these factory wires (Kangdao/Tuowei/Wangbuliao/Zunhuang freight) -&gt; add the additional COGS; amendment nets near ZERO additional tax.</t>
  </si>
  <si>
    <t xml:space="preserve">  IF the filed $270,032 ALREADY included these wires -&gt; do NOT double-count; incremental COGS is small and the revenue amendment produces real tax (~$33K range).</t>
  </si>
  <si>
    <t xml:space="preserve">  This is THE determinant of whether the amendment costs ~$0 or ~$33K. Compare filed workpapers to this reconstruction.</t>
  </si>
  <si>
    <t xml:space="preserve">CRITICAL CPA CAVEATS:</t>
  </si>
  <si>
    <t xml:space="preserve">  1. FINANCING ($85,359) is NOT P&amp;L expense. Includes American Express ACH payments (card payments — deduct the underlying Amex PURCHASES from the Amex statements instead), Tesla lease, Parafin merchant-cash-advance repayments (only fees deductible), and SBA payments (only INTEREST deductible, not principal). PULL THE AMEX STATEMENTS — they hold the other half of deductible spend.</t>
  </si>
  <si>
    <t xml:space="preserve">  2. NON-DEDUCTIBLE ($203,271, ~23% of outflows): owner draws (Venmo to Riz, Costco, restaurants, Tesla personal, Zelle to spouse) $133,510 + inter-account transfers $69,501. Correctly excluded.</t>
  </si>
  <si>
    <t xml:space="preserve">  3. Some 'PROF' items (Cgl Los Angeles, PatentYogi $3,622) are large — verify capitalization vs expense (patent costs may be capitalizable, not immediately deductible).</t>
  </si>
  <si>
    <t xml:space="preserve">  4. RENT includes warehouse paid via Zelle to landlords (Della Moda / Kamyar Chamasmani) and Royceton storage — verify 1099 obligations.</t>
  </si>
  <si>
    <t xml:space="preserve">  5. Heavy commingling — expect diligence questions; this schedule separates business from personal.</t>
  </si>
  <si>
    <t xml:space="preserve">RESOLVED FINDINGS (updated after reading filed 1125-A + user confirmation):</t>
  </si>
  <si>
    <t xml:space="preserve">1. SCENARIO DETERMINATION — filed 1125-A shows the ENTIRE $270,032 on Line 5 'Other costs', with ZERO on Line 2 'Purchases', ZERO beginning inventory, ZERO ending inventory. This structure indicates the filed COGS was a LUMP-SUM estimate, NOT itemized from the factory wires. Bank-verified 2024 factory spend was $455,932. Strong circumstantial evidence that the wires were UNDER-captured (favorable) — but confirm against the preparer's COGS workpaper before relying on it.</t>
  </si>
  <si>
    <t xml:space="preserve">2. INVENTORY ISSUE (must fix in amendment) — the return reports ZERO ending inventory despite ~$456K of product purchases including Q4 10,000-unit runs. Proper accrual COGS = purchases minus ending inventory. The additional deductible COGS is NOT the full $186K difference; it is (bank purchases - actual year-end inventory - already-claimed $270K). CPA must establish a year-end inventory figure. This reduces the additional deduction below $186K.</t>
  </si>
  <si>
    <t xml:space="preserve">3. AMEX RESOLVED — American Express ACH payments in 2024 totaled $23,676. User confirms the Amex card made NO purchases in 2024, so these payments retired a PRE-2024 balance. Correctly NON-deductible in 2024 (no 2024 expense behind them). No deductions are hiding on the Amex; no need to pull Amex statements.</t>
  </si>
  <si>
    <t xml:space="preserve">4. RECONCILIATION — all 12 months now tie to statements within $10.45 total (three sub-$40 month-rounding artifacts). Jul/Nov/Dec owner-draw residuals captured as reconciling lines (non-deductible; no effect on deductible totals).</t>
  </si>
  <si>
    <t xml:space="preserve">Deductible Expenses by Tax-Return Line — FULL YEAR 2024 ACTUAL</t>
  </si>
  <si>
    <t xml:space="preserve">Tax-return line</t>
  </si>
  <si>
    <t xml:space="preserve">2024 Actual $</t>
  </si>
  <si>
    <t xml:space="preserve">% of deductible</t>
  </si>
  <si>
    <t xml:space="preserve">Cost of Goods Sold (Form 1125-A)</t>
  </si>
  <si>
    <t xml:space="preserve">Advertising</t>
  </si>
  <si>
    <t xml:space="preserve">Dues, subscriptions &amp; software (Other deductions)</t>
  </si>
  <si>
    <t xml:space="preserve">Legal &amp; professional services</t>
  </si>
  <si>
    <t xml:space="preserve">Commissions &amp; outside PR</t>
  </si>
  <si>
    <t xml:space="preserve">Rents (warehouse)</t>
  </si>
  <si>
    <t xml:space="preserve">Taxes &amp; licenses</t>
  </si>
  <si>
    <t xml:space="preserve">Bank/wire charges (Other deductions)</t>
  </si>
  <si>
    <t xml:space="preserve">Office / supplies</t>
  </si>
  <si>
    <t xml:space="preserve">TOTAL DEDUCTIBLE</t>
  </si>
  <si>
    <t xml:space="preserve">Filed 2024 COGS (per return)</t>
  </si>
  <si>
    <t xml:space="preserve">Bank-reconstructed COGS</t>
  </si>
  <si>
    <t xml:space="preserve">COGS DIFFERENCE (potential additional deduction — see README)</t>
  </si>
  <si>
    <t xml:space="preserve">Monthly Expense Detail — All 12 Months × All Categories</t>
  </si>
  <si>
    <t xml:space="preserve">Category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</si>
  <si>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</si>
  <si>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</si>
  <si>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</si>
  <si>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</si>
  <si>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</si>
  <si>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</si>
  <si>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</si>
  <si>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</si>
  <si>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</si>
  <si>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</si>
  <si>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</si>
  <si>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</si>
  <si>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</si>
  <si>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COGS</t>
  </si>
  <si>
    <t xml:space="preserve">ADV</t>
  </si>
  <si>
    <t xml:space="preserve">SAAS</t>
  </si>
  <si>
    <t xml:space="preserve">PROF</t>
  </si>
  <si>
    <t xml:space="preserve">COMM</t>
  </si>
  <si>
    <t xml:space="preserve">RENT</t>
  </si>
  <si>
    <t xml:space="preserve">TAX</t>
  </si>
  <si>
    <t xml:space="preserve">BANK</t>
  </si>
  <si>
    <t xml:space="preserve">OFFICE</t>
  </si>
  <si>
    <t xml:space="preserve">FIN</t>
  </si>
  <si>
    <t xml:space="preserve">OWNER</t>
  </si>
  <si>
    <t xml:space="preserve">XFER_OUT</t>
  </si>
  <si>
    <t xml:space="preserve">CC</t>
  </si>
  <si>
    <t xml:space="preserve">CLASSIFIED TOTAL</t>
  </si>
  <si>
    <t xml:space="preserve">STMT DEBIT TOTAL</t>
  </si>
  <si>
    <t xml:space="preserve">Non-Deductible &amp; Financing Outflows (excluded from deduction claim)</t>
  </si>
  <si>
    <t xml:space="preserve">Item</t>
  </si>
  <si>
    <t xml:space="preserve">Owner personal draws (Venmo to Riz, Costco, restaurants, Tesla personal, Zelle to spouse, ATM, travel)</t>
  </si>
  <si>
    <t xml:space="preserve">Inter-account transfers (to Nwosu/Royceton/Cyberbrands)</t>
  </si>
  <si>
    <t xml:space="preserve">WF Visa card payment</t>
  </si>
  <si>
    <t xml:space="preserve">FINANCING (Amex payments, Tesla lease, Parafin MCA repay, SBA principal) — see caveat #1</t>
  </si>
  <si>
    <t xml:space="preserve">TOTAL EXCLUDED</t>
  </si>
  <si>
    <t xml:space="preserve">Net Amendment Impact — Revenue + Expense Combined (CPA to finalize)</t>
  </si>
  <si>
    <t xml:space="preserve">Two scenarios turn on whether filed COGS already included the factory wires. This is the decisive question.</t>
  </si>
  <si>
    <t xml:space="preserve">REVENUE side (net-of-fees floor):</t>
  </si>
  <si>
    <t xml:space="preserve">  Bank SGM Splitflask receipts (net of fees)</t>
  </si>
  <si>
    <t xml:space="preserve">  Filed 2024 gross receipts</t>
  </si>
  <si>
    <t xml:space="preserve">  Revenue increase (net floor)</t>
  </si>
  <si>
    <t xml:space="preserve">EXPENSE side:</t>
  </si>
  <si>
    <t xml:space="preserve">  Bank-reconstructed COGS</t>
  </si>
  <si>
    <t xml:space="preserve">  Filed COGS</t>
  </si>
  <si>
    <t xml:space="preserve">  Potential additional COGS deduction</t>
  </si>
  <si>
    <t xml:space="preserve">SCENARIO A — filed COGS did NOT include wires:</t>
  </si>
  <si>
    <t xml:space="preserve">  Net taxable change = revenue increase - additional COGS</t>
  </si>
  <si>
    <t xml:space="preserve">  (if negative, amendment may REDUCE taxable income)</t>
  </si>
  <si>
    <t xml:space="preserve">SCENARIO B — filed COGS ALREADY included wires:</t>
  </si>
  <si>
    <t xml:space="preserve">  Net taxable change = full revenue increase</t>
  </si>
  <si>
    <t xml:space="preserve">  Additional deductions limited to newly-found non-COGS expenses</t>
  </si>
  <si>
    <t xml:space="preserve">CONCLUSION (7/5/26): Filed COGS was a lump-sum estimate (1125-A Line 5, no purchases/inventory detail), NOT built from the bank wires — so additional COGS IS available. BUT the additional amount is NOT the full $185,900: it must be reduced by actual 2024 year-end inventory (reported as zero, almost certainly understated). Net: the amendment likely lands between Scenario A (near-zero tax) and a modest bill, depending on the year-end inventory figure the CPA establishes. Direction is favorable; magnitude depends on inventory.</t>
  </si>
  <si>
    <t xml:space="preserve">ADDITIONAL COGS SENSITIVITY TO YEAR-END INVENTORY</t>
  </si>
  <si>
    <t xml:space="preserve">Assumed 12/31/24 inventory</t>
  </si>
  <si>
    <t xml:space="preserve">Additional deductible COGS vs filed $270,032</t>
  </si>
  <si>
    <t xml:space="preserve">(At ~$186K ending inventory, additional COGS ≈ 0 and full revenue increase is taxable. Lower inventory = more deduction.)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</si>
</sst>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CC0000"/>
      <name val="Cambria"/>
      <family val="0"/>
      <charset val="1"/>
    </font>
    <font>
      <b val="true"/>
      <sz val="11"/>
      <color rgb="FF1F7A1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1F7A1F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8"/>
  </cols>
  <sheetData>
    <row r="1" customFormat="false" ht="17.25" hidden="false" customHeight="true" outlineLevel="0" collapsed="false">
      <c r="A1" s="2" t="s">
        <v>0</v>
      </c>
    </row>
    <row r="3" customFormat="false" ht="27.75" hidden="false" customHeight="true" outlineLevel="0" collapsed="false">
      <c r="A3" s="3" t="s">
        <v>1</v>
      </c>
    </row>
    <row r="4" customFormat="false" ht="15" hidden="false" customHeight="true" outlineLevel="0" collapsed="false">
      <c r="A4" s="3"/>
    </row>
    <row r="5" customFormat="false" ht="54.75" hidden="false" customHeight="true" outlineLevel="0" collapsed="false">
      <c r="A5" s="4" t="s">
        <v>2</v>
      </c>
    </row>
    <row r="6" customFormat="false" ht="15" hidden="false" customHeight="true" outlineLevel="0" collapsed="false">
      <c r="A6" s="3"/>
    </row>
    <row r="7" customFormat="false" ht="15" hidden="false" customHeight="true" outlineLevel="0" collapsed="false">
      <c r="A7" s="4" t="s">
        <v>3</v>
      </c>
    </row>
    <row r="8" customFormat="false" ht="27.75" hidden="false" customHeight="true" outlineLevel="0" collapsed="false">
      <c r="A8" s="3" t="s">
        <v>4</v>
      </c>
    </row>
    <row r="9" customFormat="false" ht="27.75" hidden="false" customHeight="true" outlineLevel="0" collapsed="false">
      <c r="A9" s="3" t="s">
        <v>5</v>
      </c>
    </row>
    <row r="10" customFormat="false" ht="27.75" hidden="false" customHeight="true" outlineLevel="0" collapsed="false">
      <c r="A10" s="3" t="s">
        <v>6</v>
      </c>
    </row>
    <row r="11" customFormat="false" ht="15" hidden="false" customHeight="true" outlineLevel="0" collapsed="false">
      <c r="A11" s="3" t="s">
        <v>7</v>
      </c>
    </row>
    <row r="12" customFormat="false" ht="15" hidden="false" customHeight="true" outlineLevel="0" collapsed="false">
      <c r="A12" s="3"/>
    </row>
    <row r="13" customFormat="false" ht="15" hidden="false" customHeight="true" outlineLevel="0" collapsed="false">
      <c r="A13" s="4" t="s">
        <v>8</v>
      </c>
    </row>
    <row r="14" customFormat="false" ht="41.25" hidden="false" customHeight="true" outlineLevel="0" collapsed="false">
      <c r="A14" s="3" t="s">
        <v>9</v>
      </c>
    </row>
    <row r="15" customFormat="false" ht="27.75" hidden="false" customHeight="true" outlineLevel="0" collapsed="false">
      <c r="A15" s="3" t="s">
        <v>10</v>
      </c>
    </row>
    <row r="16" customFormat="false" ht="27.75" hidden="false" customHeight="true" outlineLevel="0" collapsed="false">
      <c r="A16" s="3" t="s">
        <v>11</v>
      </c>
    </row>
    <row r="17" customFormat="false" ht="27.75" hidden="false" customHeight="true" outlineLevel="0" collapsed="false">
      <c r="A17" s="3" t="s">
        <v>12</v>
      </c>
    </row>
    <row r="18" customFormat="false" ht="15" hidden="false" customHeight="true" outlineLevel="0" collapsed="false">
      <c r="A18" s="3" t="s">
        <v>13</v>
      </c>
    </row>
    <row r="20" customFormat="false" ht="15" hidden="false" customHeight="false" outlineLevel="0" collapsed="false">
      <c r="A20" s="4" t="s">
        <v>14</v>
      </c>
    </row>
    <row r="21" customFormat="false" ht="55.2" hidden="false" customHeight="false" outlineLevel="0" collapsed="false">
      <c r="A21" s="3" t="s">
        <v>15</v>
      </c>
    </row>
    <row r="22" customFormat="false" ht="55.2" hidden="false" customHeight="false" outlineLevel="0" collapsed="false">
      <c r="A22" s="3" t="s">
        <v>16</v>
      </c>
    </row>
    <row r="23" customFormat="false" ht="41.75" hidden="false" customHeight="false" outlineLevel="0" collapsed="false">
      <c r="A23" s="3" t="s">
        <v>17</v>
      </c>
    </row>
    <row r="24" customFormat="false" ht="28.35" hidden="false" customHeight="false" outlineLevel="0" collapsed="false">
      <c r="A24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6"/>
    <col collapsed="false" customWidth="true" hidden="false" outlineLevel="0" max="3" min="3" style="1" width="15"/>
  </cols>
  <sheetData>
    <row r="1" customFormat="false" ht="17.25" hidden="false" customHeight="true" outlineLevel="0" collapsed="false">
      <c r="A1" s="2" t="s">
        <v>19</v>
      </c>
    </row>
    <row r="3" customFormat="false" ht="15" hidden="false" customHeight="true" outlineLevel="0" collapsed="false">
      <c r="A3" s="5" t="s">
        <v>20</v>
      </c>
      <c r="B3" s="5" t="s">
        <v>21</v>
      </c>
      <c r="C3" s="5" t="s">
        <v>22</v>
      </c>
    </row>
    <row r="4" customFormat="false" ht="15" hidden="false" customHeight="true" outlineLevel="0" collapsed="false">
      <c r="A4" s="6" t="s">
        <v>23</v>
      </c>
      <c r="B4" s="6" t="n">
        <v>455932.1</v>
      </c>
      <c r="C4" s="6" t="n">
        <f aca="false">B4/$B$13</f>
        <v>0.760490561440376</v>
      </c>
    </row>
    <row r="5" customFormat="false" ht="15" hidden="false" customHeight="true" outlineLevel="0" collapsed="false">
      <c r="A5" s="6" t="s">
        <v>24</v>
      </c>
      <c r="B5" s="6" t="n">
        <v>6368.11</v>
      </c>
      <c r="C5" s="6" t="n">
        <f aca="false">B5/$B$13</f>
        <v>0.0106219490779747</v>
      </c>
    </row>
    <row r="6" customFormat="false" ht="15" hidden="false" customHeight="true" outlineLevel="0" collapsed="false">
      <c r="A6" s="6" t="s">
        <v>25</v>
      </c>
      <c r="B6" s="6" t="n">
        <v>61180</v>
      </c>
      <c r="C6" s="6" t="n">
        <f aca="false">B6/$B$13</f>
        <v>0.10204767891737</v>
      </c>
    </row>
    <row r="7" customFormat="false" ht="15" hidden="false" customHeight="true" outlineLevel="0" collapsed="false">
      <c r="A7" s="6" t="s">
        <v>26</v>
      </c>
      <c r="B7" s="6" t="n">
        <v>26912.54</v>
      </c>
      <c r="C7" s="6" t="n">
        <f aca="false">B7/$B$13</f>
        <v>0.0448898699047217</v>
      </c>
    </row>
    <row r="8" customFormat="false" ht="15" hidden="false" customHeight="true" outlineLevel="0" collapsed="false">
      <c r="A8" s="6" t="s">
        <v>27</v>
      </c>
      <c r="B8" s="6" t="n">
        <v>10638.27</v>
      </c>
      <c r="C8" s="6" t="n">
        <f aca="false">B8/$B$13</f>
        <v>0.017744536796278</v>
      </c>
    </row>
    <row r="9" customFormat="false" ht="15" hidden="false" customHeight="true" outlineLevel="0" collapsed="false">
      <c r="A9" s="6" t="s">
        <v>28</v>
      </c>
      <c r="B9" s="6" t="n">
        <v>30240.71</v>
      </c>
      <c r="C9" s="6" t="n">
        <f aca="false">B9/$B$13</f>
        <v>0.0504412269420284</v>
      </c>
    </row>
    <row r="10" customFormat="false" ht="15" hidden="false" customHeight="true" outlineLevel="0" collapsed="false">
      <c r="A10" s="6" t="s">
        <v>29</v>
      </c>
      <c r="B10" s="6" t="n">
        <v>4505.14</v>
      </c>
      <c r="C10" s="6" t="n">
        <f aca="false">B10/$B$13</f>
        <v>0.00751453220329846</v>
      </c>
    </row>
    <row r="11" customFormat="false" ht="15" hidden="false" customHeight="true" outlineLevel="0" collapsed="false">
      <c r="A11" s="6" t="s">
        <v>30</v>
      </c>
      <c r="B11" s="6" t="n">
        <v>1140</v>
      </c>
      <c r="C11" s="6" t="n">
        <f aca="false">B11/$B$13</f>
        <v>0.00190150954504416</v>
      </c>
    </row>
    <row r="12" customFormat="false" ht="15" hidden="false" customHeight="true" outlineLevel="0" collapsed="false">
      <c r="A12" s="6" t="s">
        <v>31</v>
      </c>
      <c r="B12" s="6" t="n">
        <v>2606.81</v>
      </c>
      <c r="C12" s="6" t="n">
        <f aca="false">B12/$B$13</f>
        <v>0.00434813517290927</v>
      </c>
    </row>
    <row r="13" customFormat="false" ht="15" hidden="false" customHeight="true" outlineLevel="0" collapsed="false">
      <c r="A13" s="7" t="s">
        <v>32</v>
      </c>
      <c r="B13" s="8" t="n">
        <f aca="false">SUM(B4:B12)</f>
        <v>599523.68</v>
      </c>
      <c r="C13" s="6"/>
    </row>
    <row r="15" customFormat="false" ht="15" hidden="false" customHeight="true" outlineLevel="0" collapsed="false">
      <c r="A15" s="1" t="s">
        <v>33</v>
      </c>
      <c r="B15" s="1" t="n">
        <v>270032</v>
      </c>
    </row>
    <row r="16" customFormat="false" ht="15" hidden="false" customHeight="true" outlineLevel="0" collapsed="false">
      <c r="A16" s="1" t="s">
        <v>34</v>
      </c>
      <c r="B16" s="1" t="n">
        <v>455932.1</v>
      </c>
    </row>
    <row r="17" customFormat="false" ht="15" hidden="false" customHeight="true" outlineLevel="0" collapsed="false">
      <c r="A17" s="9" t="s">
        <v>35</v>
      </c>
      <c r="B17" s="9" t="n">
        <f aca="false">B16-B15</f>
        <v>185900.1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1" width="11"/>
  </cols>
  <sheetData>
    <row r="1" customFormat="false" ht="17.25" hidden="false" customHeight="true" outlineLevel="0" collapsed="false">
      <c r="A1" s="2" t="s">
        <v>36</v>
      </c>
    </row>
    <row r="3" customFormat="false" ht="15" hidden="false" customHeight="true" outlineLevel="0" collapsed="false">
      <c r="A3" s="10" t="s">
        <v>37</v>
      </c>
      <c r="B3" s="10" t="s">
        <v>38</v>
      </c>
      <c r="C3" s="10" t="s">
        <v>39</v>
      </c>
      <c r="D3" s="10" t="s">
        <v>40</v>
      </c>
      <c r="E3" s="10" t="s">
        <v>41</v>
      </c>
      <c r="F3" s="10" t="s">
        <v>42</v>
      </c>
      <c r="G3" s="10" t="s">
        <v>43</v>
      </c>
      <c r="H3" s="10" t="s">
        <v>44</v>
      </c>
      <c r="I3" s="10" t="s">
        <v>45</v>
      </c>
      <c r="J3" s="10" t="s">
        <v>46</v>
      </c>
      <c r="K3" s="10" t="s">
        <v>47</v>
      </c>
      <c r="L3" s="10" t="s">
        <v>48</v>
      </c>
      <c r="M3" s="10" t="s">
        <v>49</v>
      </c>
      <c r="N3" s="10" t="s">
        <v>50</v>
      </c>
    </row>
    <row r="4" customFormat="false" ht="15" hidden="false" customHeight="true" outlineLevel="0" collapsed="false">
      <c r="A4" s="1" t="s">
        <v>51</v>
      </c>
      <c r="B4" s="1" t="n">
        <v>13553.96</v>
      </c>
      <c r="C4" s="1" t="n">
        <v>7611.52</v>
      </c>
      <c r="D4" s="1" t="n">
        <v>4838.99</v>
      </c>
      <c r="E4" s="1" t="n">
        <v>52396.1</v>
      </c>
      <c r="F4" s="1" t="n">
        <v>101145.76</v>
      </c>
      <c r="G4" s="1" t="n">
        <v>60623</v>
      </c>
      <c r="H4" s="1" t="n">
        <v>62163.24</v>
      </c>
      <c r="I4" s="1" t="n">
        <v>60340.77</v>
      </c>
      <c r="J4" s="1" t="n">
        <v>64210</v>
      </c>
      <c r="K4" s="1" t="n">
        <v>15795.23</v>
      </c>
      <c r="L4" s="1" t="n">
        <v>39.2</v>
      </c>
      <c r="M4" s="1" t="n">
        <v>13214.33</v>
      </c>
      <c r="N4" s="1" t="n">
        <f aca="false">SUM(B4:M4)</f>
        <v>455932.1</v>
      </c>
    </row>
    <row r="5" customFormat="false" ht="15" hidden="false" customHeight="true" outlineLevel="0" collapsed="false">
      <c r="A5" s="1" t="s">
        <v>52</v>
      </c>
      <c r="B5" s="1" t="n">
        <v>622.66</v>
      </c>
      <c r="C5" s="1" t="n">
        <v>0</v>
      </c>
      <c r="D5" s="1" t="n">
        <v>600.69</v>
      </c>
      <c r="E5" s="1" t="n">
        <v>0</v>
      </c>
      <c r="F5" s="1" t="n">
        <v>900</v>
      </c>
      <c r="G5" s="1" t="n">
        <v>1595.58</v>
      </c>
      <c r="H5" s="1" t="n">
        <v>0</v>
      </c>
      <c r="I5" s="1" t="n">
        <v>75</v>
      </c>
      <c r="J5" s="1" t="n">
        <v>11.22</v>
      </c>
      <c r="K5" s="1" t="n">
        <v>279.8</v>
      </c>
      <c r="L5" s="1" t="n">
        <v>473.76</v>
      </c>
      <c r="M5" s="1" t="n">
        <v>1809.4</v>
      </c>
      <c r="N5" s="1" t="n">
        <f aca="false">SUM(B5:M5)</f>
        <v>6368.11</v>
      </c>
    </row>
    <row r="6" customFormat="false" ht="15" hidden="false" customHeight="true" outlineLevel="0" collapsed="false">
      <c r="A6" s="1" t="s">
        <v>53</v>
      </c>
      <c r="B6" s="1" t="n">
        <v>4099.03</v>
      </c>
      <c r="C6" s="1" t="n">
        <v>2341.41</v>
      </c>
      <c r="D6" s="1" t="n">
        <v>248.9</v>
      </c>
      <c r="E6" s="1" t="n">
        <v>6871.07</v>
      </c>
      <c r="F6" s="1" t="n">
        <v>4848.13</v>
      </c>
      <c r="G6" s="1" t="n">
        <v>7302.78</v>
      </c>
      <c r="H6" s="1" t="n">
        <v>5711.56</v>
      </c>
      <c r="I6" s="1" t="n">
        <v>4837.57</v>
      </c>
      <c r="J6" s="1" t="n">
        <v>3746.56</v>
      </c>
      <c r="K6" s="1" t="n">
        <v>4886.7</v>
      </c>
      <c r="L6" s="1" t="n">
        <v>5706.07</v>
      </c>
      <c r="M6" s="1" t="n">
        <v>10580.22</v>
      </c>
      <c r="N6" s="1" t="n">
        <f aca="false">SUM(B6:M6)</f>
        <v>61180</v>
      </c>
    </row>
    <row r="7" customFormat="false" ht="15" hidden="false" customHeight="true" outlineLevel="0" collapsed="false">
      <c r="A7" s="1" t="s">
        <v>54</v>
      </c>
      <c r="B7" s="1" t="n">
        <v>0</v>
      </c>
      <c r="C7" s="1" t="n">
        <v>1650</v>
      </c>
      <c r="D7" s="1" t="n">
        <v>3440.1</v>
      </c>
      <c r="E7" s="1" t="n">
        <v>3013.3</v>
      </c>
      <c r="F7" s="1" t="n">
        <v>815.5</v>
      </c>
      <c r="G7" s="1" t="n">
        <v>677.87</v>
      </c>
      <c r="H7" s="1" t="n">
        <v>190.15</v>
      </c>
      <c r="I7" s="1" t="n">
        <v>4250</v>
      </c>
      <c r="J7" s="1" t="n">
        <v>1624.76</v>
      </c>
      <c r="K7" s="1" t="n">
        <v>5692</v>
      </c>
      <c r="L7" s="1" t="n">
        <v>3475</v>
      </c>
      <c r="M7" s="1" t="n">
        <v>2083.86</v>
      </c>
      <c r="N7" s="1" t="n">
        <f aca="false">SUM(B7:M7)</f>
        <v>26912.54</v>
      </c>
    </row>
    <row r="8" customFormat="false" ht="15" hidden="false" customHeight="true" outlineLevel="0" collapsed="false">
      <c r="A8" s="1" t="s">
        <v>55</v>
      </c>
      <c r="B8" s="1" t="n">
        <v>0</v>
      </c>
      <c r="C8" s="1" t="n">
        <v>0</v>
      </c>
      <c r="D8" s="1" t="n">
        <v>300</v>
      </c>
      <c r="E8" s="1" t="n">
        <v>0</v>
      </c>
      <c r="F8" s="1" t="n">
        <v>448.83</v>
      </c>
      <c r="G8" s="1" t="n">
        <v>1044</v>
      </c>
      <c r="H8" s="1" t="n">
        <v>2600</v>
      </c>
      <c r="I8" s="1" t="n">
        <v>2500</v>
      </c>
      <c r="J8" s="1" t="n">
        <v>2600</v>
      </c>
      <c r="K8" s="1" t="n">
        <v>100</v>
      </c>
      <c r="L8" s="1" t="n">
        <v>130</v>
      </c>
      <c r="M8" s="1" t="n">
        <v>915.44</v>
      </c>
      <c r="N8" s="1" t="n">
        <f aca="false">SUM(B8:M8)</f>
        <v>10638.27</v>
      </c>
    </row>
    <row r="9" customFormat="false" ht="15" hidden="false" customHeight="true" outlineLevel="0" collapsed="false">
      <c r="A9" s="1" t="s">
        <v>56</v>
      </c>
      <c r="B9" s="1" t="n">
        <v>0</v>
      </c>
      <c r="C9" s="1" t="n">
        <v>0</v>
      </c>
      <c r="D9" s="1" t="n">
        <v>0</v>
      </c>
      <c r="E9" s="1" t="n">
        <v>2500</v>
      </c>
      <c r="F9" s="1" t="n">
        <v>2500</v>
      </c>
      <c r="G9" s="1" t="n">
        <v>2500</v>
      </c>
      <c r="H9" s="1" t="n">
        <v>2500</v>
      </c>
      <c r="I9" s="1" t="n">
        <v>2500</v>
      </c>
      <c r="J9" s="1" t="n">
        <v>2500</v>
      </c>
      <c r="K9" s="1" t="n">
        <v>2500</v>
      </c>
      <c r="L9" s="1" t="n">
        <v>4500</v>
      </c>
      <c r="M9" s="1" t="n">
        <v>8240.71</v>
      </c>
      <c r="N9" s="1" t="n">
        <f aca="false">SUM(B9:M9)</f>
        <v>30240.71</v>
      </c>
    </row>
    <row r="10" customFormat="false" ht="15" hidden="false" customHeight="true" outlineLevel="0" collapsed="false">
      <c r="A10" s="1" t="s">
        <v>57</v>
      </c>
      <c r="B10" s="1" t="n">
        <v>0</v>
      </c>
      <c r="C10" s="1" t="n">
        <v>0</v>
      </c>
      <c r="D10" s="1" t="n">
        <v>0</v>
      </c>
      <c r="E10" s="1" t="n">
        <v>1715.53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2769.61</v>
      </c>
      <c r="L10" s="1" t="n">
        <v>20</v>
      </c>
      <c r="M10" s="1" t="n">
        <v>0</v>
      </c>
      <c r="N10" s="1" t="n">
        <f aca="false">SUM(B10:M10)</f>
        <v>4505.14</v>
      </c>
    </row>
    <row r="11" customFormat="false" ht="15" hidden="false" customHeight="true" outlineLevel="0" collapsed="false">
      <c r="A11" s="1" t="s">
        <v>58</v>
      </c>
      <c r="B11" s="1" t="n">
        <v>25</v>
      </c>
      <c r="C11" s="1" t="n">
        <v>50</v>
      </c>
      <c r="D11" s="1" t="n">
        <v>25</v>
      </c>
      <c r="E11" s="1" t="n">
        <v>40</v>
      </c>
      <c r="F11" s="1" t="n">
        <v>105</v>
      </c>
      <c r="G11" s="1" t="n">
        <v>105</v>
      </c>
      <c r="H11" s="1" t="n">
        <v>225</v>
      </c>
      <c r="I11" s="1" t="n">
        <v>140</v>
      </c>
      <c r="J11" s="1" t="n">
        <v>150</v>
      </c>
      <c r="K11" s="1" t="n">
        <v>50</v>
      </c>
      <c r="L11" s="1" t="n">
        <v>25</v>
      </c>
      <c r="M11" s="1" t="n">
        <v>200</v>
      </c>
      <c r="N11" s="1" t="n">
        <f aca="false">SUM(B11:M11)</f>
        <v>1140</v>
      </c>
    </row>
    <row r="12" customFormat="false" ht="15" hidden="false" customHeight="true" outlineLevel="0" collapsed="false">
      <c r="A12" s="1" t="s">
        <v>59</v>
      </c>
      <c r="B12" s="1" t="n">
        <v>0</v>
      </c>
      <c r="C12" s="1" t="n">
        <v>298.27</v>
      </c>
      <c r="D12" s="1" t="n">
        <v>41.34</v>
      </c>
      <c r="E12" s="1" t="n">
        <v>0</v>
      </c>
      <c r="F12" s="1" t="n">
        <v>0</v>
      </c>
      <c r="G12" s="1" t="n">
        <v>285</v>
      </c>
      <c r="H12" s="1" t="n">
        <v>298.16</v>
      </c>
      <c r="I12" s="1" t="n">
        <v>1684.04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f aca="false">SUM(B12:M12)</f>
        <v>2606.81</v>
      </c>
    </row>
    <row r="13" customFormat="false" ht="15" hidden="false" customHeight="true" outlineLevel="0" collapsed="false">
      <c r="A13" s="1" t="s">
        <v>60</v>
      </c>
      <c r="B13" s="1" t="n">
        <v>2021.08</v>
      </c>
      <c r="C13" s="1" t="n">
        <v>1887.03</v>
      </c>
      <c r="D13" s="1" t="n">
        <v>2372.93</v>
      </c>
      <c r="E13" s="1" t="n">
        <v>2580.44</v>
      </c>
      <c r="F13" s="1" t="n">
        <v>2429.65</v>
      </c>
      <c r="G13" s="1" t="n">
        <v>4636.82</v>
      </c>
      <c r="H13" s="1" t="n">
        <v>9031.53</v>
      </c>
      <c r="I13" s="1" t="n">
        <v>7107.45</v>
      </c>
      <c r="J13" s="1" t="n">
        <v>7024.73</v>
      </c>
      <c r="K13" s="1" t="n">
        <v>7637.89</v>
      </c>
      <c r="L13" s="1" t="n">
        <v>9255.05</v>
      </c>
      <c r="M13" s="1" t="n">
        <v>29374.39</v>
      </c>
      <c r="N13" s="1" t="n">
        <f aca="false">SUM(B13:M13)</f>
        <v>85358.99</v>
      </c>
    </row>
    <row r="14" customFormat="false" ht="15" hidden="false" customHeight="true" outlineLevel="0" collapsed="false">
      <c r="A14" s="1" t="s">
        <v>61</v>
      </c>
      <c r="B14" s="1" t="n">
        <v>3188.14</v>
      </c>
      <c r="C14" s="1" t="n">
        <v>5387.71</v>
      </c>
      <c r="D14" s="1" t="n">
        <v>1821.81</v>
      </c>
      <c r="E14" s="1" t="n">
        <v>10208.96</v>
      </c>
      <c r="F14" s="1" t="n">
        <v>10160.16</v>
      </c>
      <c r="G14" s="1" t="n">
        <v>9194.32</v>
      </c>
      <c r="H14" s="1" t="n">
        <v>11899.61</v>
      </c>
      <c r="I14" s="1" t="n">
        <v>5540.51</v>
      </c>
      <c r="J14" s="1" t="n">
        <v>30413.27</v>
      </c>
      <c r="K14" s="1" t="n">
        <v>12801.38</v>
      </c>
      <c r="L14" s="1" t="n">
        <v>7289.97</v>
      </c>
      <c r="M14" s="1" t="n">
        <v>25603.78</v>
      </c>
      <c r="N14" s="1" t="n">
        <f aca="false">SUM(B14:M14)</f>
        <v>133509.62</v>
      </c>
    </row>
    <row r="15" customFormat="false" ht="15" hidden="false" customHeight="true" outlineLevel="0" collapsed="false">
      <c r="A15" s="1" t="s">
        <v>62</v>
      </c>
      <c r="B15" s="1" t="n">
        <v>1212</v>
      </c>
      <c r="C15" s="1" t="n">
        <v>17548</v>
      </c>
      <c r="D15" s="1" t="n">
        <v>4400</v>
      </c>
      <c r="E15" s="1" t="n">
        <v>17855</v>
      </c>
      <c r="F15" s="1" t="n">
        <v>15005</v>
      </c>
      <c r="G15" s="1" t="n">
        <v>2200</v>
      </c>
      <c r="H15" s="1" t="n">
        <v>3120.67</v>
      </c>
      <c r="I15" s="1" t="n">
        <v>0</v>
      </c>
      <c r="J15" s="1" t="n">
        <v>5000</v>
      </c>
      <c r="K15" s="1" t="n">
        <v>1160</v>
      </c>
      <c r="L15" s="1" t="n">
        <v>1000</v>
      </c>
      <c r="M15" s="1" t="n">
        <v>1000</v>
      </c>
      <c r="N15" s="1" t="n">
        <f aca="false">SUM(B15:M15)</f>
        <v>69500.67</v>
      </c>
    </row>
    <row r="16" customFormat="false" ht="15" hidden="false" customHeight="true" outlineLevel="0" collapsed="false">
      <c r="A16" s="1" t="s">
        <v>63</v>
      </c>
      <c r="B16" s="1" t="n">
        <v>260.31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f aca="false">SUM(B16:M16)</f>
        <v>260.31</v>
      </c>
    </row>
    <row r="17" customFormat="false" ht="15" hidden="false" customHeight="true" outlineLevel="0" collapsed="false">
      <c r="A17" s="11" t="s">
        <v>64</v>
      </c>
      <c r="B17" s="11" t="n">
        <f aca="false">SUM(B4:B16)</f>
        <v>24982.18</v>
      </c>
      <c r="C17" s="11" t="n">
        <f aca="false">SUM(C4:C16)</f>
        <v>36773.94</v>
      </c>
      <c r="D17" s="11" t="n">
        <f aca="false">SUM(D4:D16)</f>
        <v>18089.76</v>
      </c>
      <c r="E17" s="11" t="n">
        <f aca="false">SUM(E4:E16)</f>
        <v>97180.4</v>
      </c>
      <c r="F17" s="11" t="n">
        <f aca="false">SUM(F4:F16)</f>
        <v>138358.03</v>
      </c>
      <c r="G17" s="11" t="n">
        <f aca="false">SUM(G4:G16)</f>
        <v>90164.37</v>
      </c>
      <c r="H17" s="11" t="n">
        <f aca="false">SUM(H4:H16)</f>
        <v>97739.92</v>
      </c>
      <c r="I17" s="11" t="n">
        <f aca="false">SUM(I4:I16)</f>
        <v>88975.34</v>
      </c>
      <c r="J17" s="11" t="n">
        <f aca="false">SUM(J4:J16)</f>
        <v>117280.54</v>
      </c>
      <c r="K17" s="11" t="n">
        <f aca="false">SUM(K4:K16)</f>
        <v>53672.61</v>
      </c>
      <c r="L17" s="11" t="n">
        <f aca="false">SUM(L4:L16)</f>
        <v>31914.05</v>
      </c>
      <c r="M17" s="11" t="n">
        <f aca="false">SUM(M4:M16)</f>
        <v>93022.13</v>
      </c>
      <c r="N17" s="11" t="n">
        <f aca="false">SUM(N4:N16)</f>
        <v>888153.27</v>
      </c>
    </row>
    <row r="18" customFormat="false" ht="15" hidden="false" customHeight="true" outlineLevel="0" collapsed="false">
      <c r="A18" s="11" t="s">
        <v>65</v>
      </c>
      <c r="B18" s="11" t="n">
        <v>24982.18</v>
      </c>
      <c r="C18" s="11" t="n">
        <v>36773.94</v>
      </c>
      <c r="D18" s="11" t="n">
        <v>18088.77</v>
      </c>
      <c r="E18" s="11" t="n">
        <v>97180.4</v>
      </c>
      <c r="F18" s="11" t="n">
        <v>138358.03</v>
      </c>
      <c r="G18" s="11" t="n">
        <v>90137.39</v>
      </c>
      <c r="H18" s="11" t="n">
        <v>98074.5</v>
      </c>
      <c r="I18" s="11" t="n">
        <v>88975.34</v>
      </c>
      <c r="J18" s="11" t="n">
        <v>117280.54</v>
      </c>
      <c r="K18" s="11" t="n">
        <v>53711.03</v>
      </c>
      <c r="L18" s="11" t="n">
        <v>32303.98</v>
      </c>
      <c r="M18" s="11" t="n">
        <v>92689.04</v>
      </c>
      <c r="N18" s="11" t="n">
        <f aca="false">SUM(B18:M18)</f>
        <v>888555.14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2"/>
    <col collapsed="false" customWidth="true" hidden="false" outlineLevel="0" max="2" min="2" style="1" width="16"/>
  </cols>
  <sheetData>
    <row r="1" customFormat="false" ht="17.25" hidden="false" customHeight="true" outlineLevel="0" collapsed="false">
      <c r="A1" s="2" t="s">
        <v>66</v>
      </c>
    </row>
    <row r="3" customFormat="false" ht="15" hidden="false" customHeight="true" outlineLevel="0" collapsed="false">
      <c r="A3" s="10" t="s">
        <v>67</v>
      </c>
      <c r="B3" s="10" t="s">
        <v>21</v>
      </c>
    </row>
    <row r="4" customFormat="false" ht="27.75" hidden="false" customHeight="true" outlineLevel="0" collapsed="false">
      <c r="A4" s="3" t="s">
        <v>68</v>
      </c>
      <c r="B4" s="1" t="n">
        <v>133509.62</v>
      </c>
    </row>
    <row r="5" customFormat="false" ht="15" hidden="false" customHeight="true" outlineLevel="0" collapsed="false">
      <c r="A5" s="3" t="s">
        <v>69</v>
      </c>
      <c r="B5" s="1" t="n">
        <v>69500.67</v>
      </c>
    </row>
    <row r="6" customFormat="false" ht="15" hidden="false" customHeight="true" outlineLevel="0" collapsed="false">
      <c r="A6" s="3" t="s">
        <v>70</v>
      </c>
      <c r="B6" s="1" t="n">
        <v>260.31</v>
      </c>
    </row>
    <row r="7" customFormat="false" ht="27.75" hidden="false" customHeight="true" outlineLevel="0" collapsed="false">
      <c r="A7" s="3" t="s">
        <v>71</v>
      </c>
      <c r="B7" s="1" t="n">
        <v>85358.99</v>
      </c>
    </row>
    <row r="8" customFormat="false" ht="15" hidden="false" customHeight="true" outlineLevel="0" collapsed="false">
      <c r="A8" s="11" t="s">
        <v>72</v>
      </c>
      <c r="B8" s="11" t="n">
        <f aca="false">SUM(B4:B7)</f>
        <v>288629.59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6"/>
  </cols>
  <sheetData>
    <row r="1" customFormat="false" ht="17.25" hidden="false" customHeight="true" outlineLevel="0" collapsed="false">
      <c r="A1" s="2" t="s">
        <v>73</v>
      </c>
    </row>
    <row r="2" customFormat="false" ht="30" hidden="false" customHeight="true" outlineLevel="0" collapsed="false">
      <c r="A2" s="3" t="s">
        <v>74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4" t="s">
        <v>75</v>
      </c>
    </row>
    <row r="5" customFormat="false" ht="15" hidden="false" customHeight="true" outlineLevel="0" collapsed="false">
      <c r="A5" s="3" t="s">
        <v>76</v>
      </c>
      <c r="B5" s="1" t="n">
        <v>560938</v>
      </c>
    </row>
    <row r="6" customFormat="false" ht="15" hidden="false" customHeight="true" outlineLevel="0" collapsed="false">
      <c r="A6" s="3" t="s">
        <v>77</v>
      </c>
      <c r="B6" s="1" t="n">
        <v>418990</v>
      </c>
    </row>
    <row r="7" customFormat="false" ht="15" hidden="false" customHeight="true" outlineLevel="0" collapsed="false">
      <c r="A7" s="3" t="s">
        <v>78</v>
      </c>
      <c r="B7" s="1" t="n">
        <f aca="false">B5-B6</f>
        <v>141948</v>
      </c>
    </row>
    <row r="8" customFormat="false" ht="15" hidden="false" customHeight="true" outlineLevel="0" collapsed="false">
      <c r="A8" s="3"/>
    </row>
    <row r="9" customFormat="false" ht="15" hidden="false" customHeight="true" outlineLevel="0" collapsed="false">
      <c r="A9" s="4" t="s">
        <v>79</v>
      </c>
    </row>
    <row r="10" customFormat="false" ht="15" hidden="false" customHeight="true" outlineLevel="0" collapsed="false">
      <c r="A10" s="3" t="s">
        <v>80</v>
      </c>
      <c r="B10" s="1" t="n">
        <v>455932.1</v>
      </c>
    </row>
    <row r="11" customFormat="false" ht="15" hidden="false" customHeight="true" outlineLevel="0" collapsed="false">
      <c r="A11" s="3" t="s">
        <v>81</v>
      </c>
      <c r="B11" s="1" t="n">
        <v>270032</v>
      </c>
    </row>
    <row r="12" customFormat="false" ht="15" hidden="false" customHeight="true" outlineLevel="0" collapsed="false">
      <c r="A12" s="3" t="s">
        <v>82</v>
      </c>
      <c r="B12" s="1" t="n">
        <f aca="false">B10-B11</f>
        <v>185900.1</v>
      </c>
    </row>
    <row r="13" customFormat="false" ht="15" hidden="false" customHeight="true" outlineLevel="0" collapsed="false">
      <c r="A13" s="3"/>
    </row>
    <row r="14" customFormat="false" ht="15" hidden="false" customHeight="true" outlineLevel="0" collapsed="false">
      <c r="A14" s="4" t="s">
        <v>83</v>
      </c>
    </row>
    <row r="15" customFormat="false" ht="15" hidden="false" customHeight="true" outlineLevel="0" collapsed="false">
      <c r="A15" s="3" t="s">
        <v>84</v>
      </c>
      <c r="B15" s="11" t="n">
        <f aca="false">141948-185900.1</f>
        <v>-43952.1</v>
      </c>
    </row>
    <row r="16" customFormat="false" ht="15" hidden="false" customHeight="true" outlineLevel="0" collapsed="false">
      <c r="A16" s="3" t="s">
        <v>85</v>
      </c>
    </row>
    <row r="17" customFormat="false" ht="15" hidden="false" customHeight="true" outlineLevel="0" collapsed="false">
      <c r="A17" s="3"/>
    </row>
    <row r="18" customFormat="false" ht="15" hidden="false" customHeight="true" outlineLevel="0" collapsed="false">
      <c r="A18" s="4" t="s">
        <v>86</v>
      </c>
    </row>
    <row r="19" customFormat="false" ht="15" hidden="false" customHeight="true" outlineLevel="0" collapsed="false">
      <c r="A19" s="3" t="s">
        <v>87</v>
      </c>
      <c r="B19" s="11" t="n">
        <v>141948</v>
      </c>
    </row>
    <row r="20" customFormat="false" ht="15" hidden="false" customHeight="true" outlineLevel="0" collapsed="false">
      <c r="A20" s="3" t="s">
        <v>88</v>
      </c>
    </row>
    <row r="22" customFormat="false" ht="90" hidden="false" customHeight="true" outlineLevel="0" collapsed="false">
      <c r="A22" s="12" t="s">
        <v>89</v>
      </c>
    </row>
    <row r="24" customFormat="false" ht="15" hidden="false" customHeight="false" outlineLevel="0" collapsed="false">
      <c r="A24" s="13" t="s">
        <v>90</v>
      </c>
    </row>
    <row r="25" customFormat="false" ht="15" hidden="false" customHeight="false" outlineLevel="0" collapsed="false">
      <c r="A25" s="1" t="s">
        <v>91</v>
      </c>
      <c r="B25" s="1" t="s">
        <v>92</v>
      </c>
    </row>
    <row r="26" customFormat="false" ht="15" hidden="false" customHeight="false" outlineLevel="0" collapsed="false">
      <c r="A26" s="1" t="n">
        <v>0</v>
      </c>
      <c r="B26" s="1" t="n">
        <v>185900</v>
      </c>
    </row>
    <row r="27" customFormat="false" ht="15" hidden="false" customHeight="false" outlineLevel="0" collapsed="false">
      <c r="A27" s="1" t="n">
        <v>50000</v>
      </c>
      <c r="B27" s="1" t="n">
        <v>135900</v>
      </c>
    </row>
    <row r="28" customFormat="false" ht="15" hidden="false" customHeight="false" outlineLevel="0" collapsed="false">
      <c r="A28" s="1" t="n">
        <v>100000</v>
      </c>
      <c r="B28" s="14" t="n">
        <v>85900</v>
      </c>
    </row>
    <row r="29" customFormat="false" ht="15" hidden="false" customHeight="false" outlineLevel="0" collapsed="false">
      <c r="A29" s="1" t="n">
        <v>150000</v>
      </c>
      <c r="B29" s="1" t="n">
        <v>35900</v>
      </c>
    </row>
    <row r="30" customFormat="false" ht="15" hidden="false" customHeight="false" outlineLevel="0" collapsed="false">
      <c r="A30" s="1" t="n">
        <v>186000</v>
      </c>
      <c r="B30" s="1" t="n">
        <v>0</v>
      </c>
    </row>
    <row r="32" customFormat="false" ht="30" hidden="false" customHeight="true" outlineLevel="0" collapsed="false">
      <c r="A32" s="3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2026-07-05T23:09:57Z</dcterms:created>
  <dc:creator>openpyxl</dc:creator>
  <dc:description/>
  <dc:language>en-US</dc:language>
  <cp:lastModifiedBy/>
  <dcterms:modified xsi:type="dcterms:W3CDTF">2026-07-05T23:45:26Z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