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1099K_Recon" sheetId="2" state="visible" r:id="rId2"/>
    <sheet name="3_Revenue" sheetId="3" state="visible" r:id="rId3"/>
    <sheet name="4_COGS_Inventory" sheetId="4" state="visible" r:id="rId4"/>
    <sheet name="5_Deductions" sheetId="5" state="visible" r:id="rId5"/>
    <sheet name="6_Nominee_Interco" sheetId="6" state="visible" r:id="rId6"/>
    <sheet name="7_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i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4A7A"/>
      </patternFill>
    </fill>
    <fill>
      <patternFill patternType="solid">
        <fgColor rgb="00C9A84C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4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6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4" fontId="4" fillId="8" borderId="1" applyAlignment="1" pivotButton="0" quotePrefix="0" xfId="0">
      <alignment horizontal="right"/>
    </xf>
    <xf numFmtId="0" fontId="8" fillId="4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4" fontId="4" fillId="9" borderId="1" applyAlignment="1" pivotButton="0" quotePrefix="0" xfId="0">
      <alignment horizontal="right"/>
    </xf>
    <xf numFmtId="0" fontId="11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4" customWidth="1" min="4" max="4"/>
  </cols>
  <sheetData>
    <row r="1" ht="26" customHeight="1">
      <c r="A1" s="1" t="inlineStr">
        <is>
          <t>SGM / Social Gear Media LLC — 2025 Form 1120-S Amendment Packet</t>
        </is>
      </c>
    </row>
    <row r="2">
      <c r="A2" s="2" t="inlineStr">
        <is>
          <t>EIN 83-3077502  |  WF …8625  |  Tax Year 2025  |  CA S-Corp (1120-S)</t>
        </is>
      </c>
    </row>
    <row r="4" ht="18" customHeight="1">
      <c r="A4" s="3" t="inlineStr">
        <is>
          <t>Item</t>
        </is>
      </c>
      <c r="B4" s="3" t="inlineStr">
        <is>
          <t>As-Filed</t>
        </is>
      </c>
      <c r="C4" s="3" t="inlineStr">
        <is>
          <t>Amended</t>
        </is>
      </c>
      <c r="D4" s="3" t="inlineStr">
        <is>
          <t>Note</t>
        </is>
      </c>
    </row>
    <row r="5" ht="40" customHeight="1">
      <c r="A5" s="4" t="inlineStr">
        <is>
          <t>Gross Receipts (reported)</t>
        </is>
      </c>
      <c r="B5" s="5" t="n">
        <v>130976</v>
      </c>
      <c r="C5" s="5" t="n">
        <v>55484</v>
      </c>
      <c r="D5" s="6" t="inlineStr">
        <is>
          <t>Filed = pure bank deposits (owner loans $57,317 + interco $11,151 counted as revenue). Amended = real revenue only.</t>
        </is>
      </c>
    </row>
    <row r="6" ht="40" customHeight="1">
      <c r="A6" s="7" t="inlineStr">
        <is>
          <t>Amazon 1099-K (SGM TIN 83-3077502) — REPORTED IN</t>
        </is>
      </c>
      <c r="B6" s="8" t="n"/>
      <c r="C6" s="9" t="n">
        <v>240009.89</v>
      </c>
      <c r="D6" s="10" t="inlineStr">
        <is>
          <t>Full 1099-K reported IN on SGM 1120-S. Satisfies IRS CP2000 matching at $240K.</t>
        </is>
      </c>
    </row>
    <row r="7" ht="40" customHeight="1">
      <c r="A7" s="11" t="inlineStr">
        <is>
          <t>Amazon Nominee Distribution — DEDUCTED OUT</t>
        </is>
      </c>
      <c r="B7" s="12" t="n"/>
      <c r="C7" s="13" t="n">
        <v>-224789.09</v>
      </c>
      <c r="D7" s="14" t="inlineStr">
        <is>
          <t>Feb 5–Dec 31 Amazon orders earned by SPLT after account moved. Nominee 1099 issued SGM→SPLT EIN 33-3094308.</t>
        </is>
      </c>
    </row>
    <row r="8" ht="40" customHeight="1">
      <c r="A8" s="7" t="inlineStr">
        <is>
          <t>Amazon net on SGM (Jan 1–Feb 4 orders)</t>
        </is>
      </c>
      <c r="B8" s="8" t="n"/>
      <c r="C8" s="9" t="n">
        <v>15220.8</v>
      </c>
      <c r="D8" s="10" t="inlineStr">
        <is>
          <t>295 items / 302 units earned before cutoff. Source: Amazon order-date dashboard (Layer 7).</t>
        </is>
      </c>
    </row>
    <row r="9" ht="40" customHeight="1">
      <c r="A9" s="4" t="inlineStr">
        <is>
          <t>Non-Amazon bank revenue</t>
        </is>
      </c>
      <c r="B9" s="15" t="n"/>
      <c r="C9" s="5" t="n">
        <v>34252</v>
      </c>
      <c r="D9" s="6" t="inlineStr">
        <is>
          <t>SGM 2025 bank deposits — non-Amazon channels. Layer 7 classification, 720 rows, footed.</t>
        </is>
      </c>
    </row>
    <row r="10" ht="40" customHeight="1">
      <c r="A10" s="7" t="inlineStr">
        <is>
          <t>Consulting income (Teslarati + Video Elephant)</t>
        </is>
      </c>
      <c r="B10" s="8" t="n"/>
      <c r="C10" s="9" t="n">
        <v>6011</v>
      </c>
      <c r="D10" s="10" t="inlineStr">
        <is>
          <t>Named deposits in SGM 2025 bank. Layer 7. Confirmed NOT CB 2024 income.</t>
        </is>
      </c>
    </row>
    <row r="11" ht="40" customHeight="1">
      <c r="A11" s="16" t="inlineStr">
        <is>
          <t>Total Real Gross Receipts</t>
        </is>
      </c>
      <c r="B11" s="17" t="n"/>
      <c r="C11" s="18" t="n">
        <v>55484</v>
      </c>
      <c r="D11" s="19" t="inlineStr">
        <is>
          <t>LOCKED = $15,220.80 + $34,252 + $6,011. Layer 7 + Layer 12.</t>
        </is>
      </c>
    </row>
    <row r="12" ht="40" customHeight="1">
      <c r="A12" s="11" t="inlineStr">
        <is>
          <t>Total Deductions</t>
        </is>
      </c>
      <c r="B12" s="12" t="n"/>
      <c r="C12" s="13" t="n">
        <v>67398.78999999999</v>
      </c>
      <c r="D12" s="14" t="inlineStr">
        <is>
          <t>Itemized from SGM_2025_Txns — FINAL subject to TJ calls</t>
        </is>
      </c>
    </row>
    <row r="13" ht="40" customHeight="1">
      <c r="A13" s="16" t="inlineStr">
        <is>
          <t>Net Ordinary Income / (Loss)</t>
        </is>
      </c>
      <c r="B13" s="18" t="n">
        <v>-32900</v>
      </c>
      <c r="C13" s="18" t="n">
        <v>-11915</v>
      </c>
      <c r="D13" s="19" t="inlineStr">
        <is>
          <t>Favorable; does NOT raise tax — shallower than provisional −$19,027</t>
        </is>
      </c>
    </row>
    <row r="15" ht="20" customHeight="1">
      <c r="A15" s="20" t="inlineStr">
        <is>
          <t>KEY FINDINGS</t>
        </is>
      </c>
    </row>
    <row r="16" ht="60" customHeight="1">
      <c r="A16" s="21" t="inlineStr">
        <is>
          <t xml:space="preserve">  1. DEPOSIT-BASIS ERROR — CORRECTED:  Filed return used total bank deposits ($130,976) as gross receipts. Deposits included $57,317 owner loans + $11,151 interco transfers = $68,468 of non-income, inflating filed gross by that amount. Additionally, a $7,024 reclassification (reversals/misc) was removed in Layer 12. Amendment restates on real-revenue basis: $55,484.</t>
        </is>
      </c>
      <c r="B16" s="37" t="n"/>
      <c r="C16" s="37" t="n"/>
      <c r="D16" s="38" t="n"/>
    </row>
    <row r="17" ht="60" customHeight="1">
      <c r="A17" s="22" t="inlineStr">
        <is>
          <t xml:space="preserve">  2. AMAZON 1099-K NOMINEE MECHANICS (CENTERPIECE):  Amazon 1099-K $240,009.89 issued on SGM TIN because TIN update lagged when the account physically moved to SPLT (formed Jan 28, 2025). Resolution: SGM reports full $240,009.89 IN, deducts $224,789.09 OUT as Nominee Distribution, issues nominee 1099 to SPLT. SGM nets $15,220.80 (Jan 1–Feb 4 earned orders). TJ: also request corrected 1099-K from Amazon under SPLT TIN (belt-and-suspenders).</t>
        </is>
      </c>
      <c r="B17" s="37" t="n"/>
      <c r="C17" s="37" t="n"/>
      <c r="D17" s="38" t="n"/>
    </row>
    <row r="18" ht="60" customHeight="1">
      <c r="A18" s="21" t="inlineStr">
        <is>
          <t xml:space="preserve">  3. FILED DEDUCTION DETAIL — TJ TO VERIFY (CB 2024 LESSON):  Filed gross $130,976 − filed net −$32,900 = implied filed expenses $163,876. Filed deduction schedule NOT available in source docs. TJ to provide filed 1120-S for deduction-by-deduction comparison. CB 2024 found $104K of unsubstantiated QuickBooks catch-all deductions — apply same scrutiny here.</t>
        </is>
      </c>
      <c r="B18" s="37" t="n"/>
      <c r="C18" s="37" t="n"/>
      <c r="D18" s="38" t="n"/>
    </row>
    <row r="19" ht="60" customHeight="1">
      <c r="A19" s="22" t="inlineStr">
        <is>
          <t xml:space="preserve">  4. $148K SGM→SPLT TRANSFER — TJ LOAN-VS-CAPITAL DECISION:  $148,164 operating cash moved from SGM to SPLT as business shifted entities mid-2025. NOT P&amp;L. TJ: LOAN = interco receivable(SGM)/payable(SPLT); CAPITAL = permanent equity. $148K is material.</t>
        </is>
      </c>
      <c r="B19" s="37" t="n"/>
      <c r="C19" s="37" t="n"/>
      <c r="D19" s="38" t="n"/>
    </row>
    <row r="20" ht="60" customHeight="1">
      <c r="A20" s="21" t="inlineStr">
        <is>
          <t xml:space="preserve">  5. AUGUSTA RENT $16,500 — PENDING TJ CONFIRMATION:  Bank-substantiated. Deductibility requires: (a) 14-day annual cap not exceeded, (b) no home-office double-stack. TJ confirms and approves inclusion.</t>
        </is>
      </c>
      <c r="B20" s="37" t="n"/>
      <c r="C20" s="37" t="n"/>
      <c r="D20" s="38" t="n"/>
    </row>
    <row r="21">
      <c r="A21" t="inlineStr">
        <is>
          <t>Note: $34,600 provisional opex block replaced by $27,487.79 bank-itemized opex. Drop of $7,112 (block was over-stated). TJ adjustments (vehicle insurance $820, meals 50%, personal items ~$601, travel docs) could further reduce loss by $0–$1,421.</t>
        </is>
      </c>
    </row>
  </sheetData>
  <mergeCells count="8">
    <mergeCell ref="A1:D1"/>
    <mergeCell ref="A17:D17"/>
    <mergeCell ref="A18:D18"/>
    <mergeCell ref="A20:D20"/>
    <mergeCell ref="A15:D15"/>
    <mergeCell ref="A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 ht="26" customHeight="1">
      <c r="A1" s="1" t="inlineStr">
        <is>
          <t>SGM 2025 — 1099-K Reconciliation &amp; Nominee Distribution</t>
        </is>
      </c>
    </row>
    <row r="3" ht="18" customHeight="1">
      <c r="A3" s="3" t="inlineStr">
        <is>
          <t>Form / Channel</t>
        </is>
      </c>
      <c r="B3" s="3" t="inlineStr">
        <is>
          <t>1099-K Gross</t>
        </is>
      </c>
      <c r="C3" s="3" t="inlineStr">
        <is>
          <t>SGM Keeps</t>
        </is>
      </c>
      <c r="D3" s="3" t="inlineStr">
        <is>
          <t>Nominee→SPLT</t>
        </is>
      </c>
      <c r="E3" s="3" t="inlineStr">
        <is>
          <t>Source / Note</t>
        </is>
      </c>
    </row>
    <row r="4" ht="44" customHeight="1">
      <c r="A4" s="4" t="inlineStr">
        <is>
          <t>Amazon US (SGM TIN 83-3077502)</t>
        </is>
      </c>
      <c r="B4" s="5" t="n">
        <v>240009.89</v>
      </c>
      <c r="C4" s="5" t="n">
        <v>15220.8</v>
      </c>
      <c r="D4" s="5" t="n">
        <v>224789.09</v>
      </c>
      <c r="E4" s="6" t="inlineStr">
        <is>
          <t>Layer 0 locked (penny-matched). SGM keeps Jan 1–Feb 4 orders ($15,220.80). Feb 5–Dec 31 nominee to SPLT.</t>
        </is>
      </c>
    </row>
    <row r="5" ht="44" customHeight="1">
      <c r="A5" s="11" t="inlineStr">
        <is>
          <t>TikTok Shop 2025 — no SGM-TIN 1099-K confirmed</t>
        </is>
      </c>
      <c r="B5" s="12" t="n"/>
      <c r="C5" s="12" t="n"/>
      <c r="D5" s="12" t="n"/>
      <c r="E5" s="14" t="inlineStr">
        <is>
          <t>2024 TikTok was on SGM TIN. 2025 TikTok wound down after Q2; no SGM-TIN TikTok 1099-K for 2025 identified. If issued, apply nominee logic if applicable. Verify with TJ.</t>
        </is>
      </c>
    </row>
    <row r="6" ht="44" customHeight="1">
      <c r="A6" s="4" t="inlineStr">
        <is>
          <t>Other SGM-TIN 1099-Ks</t>
        </is>
      </c>
      <c r="B6" s="15" t="n"/>
      <c r="C6" s="15" t="n"/>
      <c r="D6" s="15" t="n"/>
      <c r="E6" s="6" t="inlineStr">
        <is>
          <t>No other 2025 1099-Ks on SGM TIN in source docs. TJ to confirm.</t>
        </is>
      </c>
    </row>
    <row r="7" ht="44" customHeight="1">
      <c r="A7" s="16" t="inlineStr">
        <is>
          <t>TOTAL (Amazon)</t>
        </is>
      </c>
      <c r="B7" s="18" t="n">
        <v>240009.89</v>
      </c>
      <c r="C7" s="18" t="n">
        <v>15220.8</v>
      </c>
      <c r="D7" s="18" t="n">
        <v>224789.09</v>
      </c>
      <c r="E7" s="19" t="inlineStr">
        <is>
          <t>LOCKED — Layer 7 + order-date dashboard.</t>
        </is>
      </c>
    </row>
    <row r="9" ht="20" customHeight="1">
      <c r="A9" s="20" t="inlineStr">
        <is>
          <t>NOMINEE MECHANICS — STEP-BY-STEP (IRS guidance: irs.gov/…/form-1099-k-in-error)</t>
        </is>
      </c>
    </row>
    <row r="10" ht="30" customHeight="1">
      <c r="A10" s="21" t="inlineStr">
        <is>
          <t>STEP 1: SGM reports the FULL $240,009.89 Amazon 1099-K on its 2025 1120-S income (Line 1). IRS matching satisfied at SGM TIN.</t>
        </is>
      </c>
      <c r="B10" s="37" t="n"/>
      <c r="C10" s="37" t="n"/>
      <c r="D10" s="37" t="n"/>
      <c r="E10" s="38" t="n"/>
    </row>
    <row r="11" ht="30" customHeight="1">
      <c r="A11" s="22" t="inlineStr">
        <is>
          <t>STEP 2: SGM deducts $224,789.09 as Nominee Distribution (Other Deductions line, labeled 'Nominee Distribution to SPLT INC EIN 33-3094308').</t>
        </is>
      </c>
      <c r="B11" s="37" t="n"/>
      <c r="C11" s="37" t="n"/>
      <c r="D11" s="37" t="n"/>
      <c r="E11" s="38" t="n"/>
    </row>
    <row r="12" ht="30" customHeight="1">
      <c r="A12" s="21" t="inlineStr">
        <is>
          <t>STEP 3: SGM issues Form 1099 (nominee) to SPLT INC (EIN 33-3094308) for $224,789.09. TJ files this form.</t>
        </is>
      </c>
      <c r="B12" s="37" t="n"/>
      <c r="C12" s="37" t="n"/>
      <c r="D12" s="37" t="n"/>
      <c r="E12" s="38" t="n"/>
    </row>
    <row r="13" ht="30" customHeight="1">
      <c r="A13" s="22" t="inlineStr">
        <is>
          <t>STEP 4: SPLT reports $224,789.09 as gross income on its 2025 1120.</t>
        </is>
      </c>
      <c r="B13" s="37" t="n"/>
      <c r="C13" s="37" t="n"/>
      <c r="D13" s="37" t="n"/>
      <c r="E13" s="38" t="n"/>
    </row>
    <row r="14" ht="30" customHeight="1">
      <c r="A14" s="21" t="inlineStr">
        <is>
          <t>STEP 5 (belt-and-suspenders): Also request CORRECTED 1099-K from Amazon under SPLT TIN EIN 33-3094308.</t>
        </is>
      </c>
      <c r="B14" s="37" t="n"/>
      <c r="C14" s="37" t="n"/>
      <c r="D14" s="37" t="n"/>
      <c r="E14" s="38" t="n"/>
    </row>
    <row r="15" ht="30" customHeight="1">
      <c r="A15" s="22" t="inlineStr">
        <is>
          <t>SPLIT DATE: Feb 4, 2025. Account moved to SPLT at SPLT formation Jan 28, 2025; effective order-date cutoff = Feb 4.</t>
        </is>
      </c>
      <c r="B15" s="37" t="n"/>
      <c r="C15" s="37" t="n"/>
      <c r="D15" s="37" t="n"/>
      <c r="E15" s="38" t="n"/>
    </row>
    <row r="16" ht="30" customHeight="1">
      <c r="A16" s="21" t="inlineStr">
        <is>
          <t>BASIS: Order-date earned basis (NOT cash-landing). Amazon settlement lag means some Jan orders land in SPLT bank after Feb 4 — attribute by ORDER DATE.</t>
        </is>
      </c>
      <c r="B16" s="37" t="n"/>
      <c r="C16" s="37" t="n"/>
      <c r="D16" s="37" t="n"/>
      <c r="E16" s="38" t="n"/>
    </row>
    <row r="17" ht="30" customHeight="1">
      <c r="A17" s="23" t="inlineStr">
        <is>
          <t>⚠️ FEES: Amazon fees on the $224,789.09 nominee portion FOLLOWED income to SPLT (~$53,030). SGM deducts fees only on its $15,220.80 slice ($7,071). See tab 5.</t>
        </is>
      </c>
      <c r="B17" s="37" t="n"/>
      <c r="C17" s="37" t="n"/>
      <c r="D17" s="37" t="n"/>
      <c r="E17" s="38" t="n"/>
    </row>
  </sheetData>
  <mergeCells count="10">
    <mergeCell ref="A12:E12"/>
    <mergeCell ref="A16:E16"/>
    <mergeCell ref="A15:E15"/>
    <mergeCell ref="A10:E10"/>
    <mergeCell ref="A11:E11"/>
    <mergeCell ref="A1:E1"/>
    <mergeCell ref="A13:E13"/>
    <mergeCell ref="A14:E14"/>
    <mergeCell ref="A17:E17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44" customWidth="1" min="5" max="5"/>
  </cols>
  <sheetData>
    <row r="1" ht="26" customHeight="1">
      <c r="A1" s="1" t="inlineStr">
        <is>
          <t>SGM 2025 — Revenue Reconciliation (Filed Deposits → Real Gross Receipts)</t>
        </is>
      </c>
    </row>
    <row r="3" ht="20" customHeight="1">
      <c r="A3" s="24" t="inlineStr">
        <is>
          <t>PART A — Filed Deposit Decomposition (Why Filed Gross Was Wrong)</t>
        </is>
      </c>
    </row>
    <row r="4" ht="18" customHeight="1">
      <c r="A4" s="3" t="inlineStr">
        <is>
          <t>Deposit Category</t>
        </is>
      </c>
      <c r="B4" s="3" t="inlineStr">
        <is>
          <t>Amount</t>
        </is>
      </c>
      <c r="C4" s="3" t="inlineStr">
        <is>
          <t>Income?</t>
        </is>
      </c>
      <c r="D4" s="3" t="inlineStr">
        <is>
          <t>Treatment</t>
        </is>
      </c>
      <c r="E4" s="3" t="inlineStr">
        <is>
          <t>Source</t>
        </is>
      </c>
    </row>
    <row r="5" ht="38" customHeight="1">
      <c r="A5" s="4" t="inlineStr">
        <is>
          <t>Revenue deposits — real</t>
        </is>
      </c>
      <c r="B5" s="5" t="n">
        <v>59597</v>
      </c>
      <c r="C5" s="6" t="inlineStr">
        <is>
          <t>YES (partial)</t>
        </is>
      </c>
      <c r="D5" s="6" t="inlineStr">
        <is>
          <t>Real revenue channels. Further refined in Part B to $55,484 (some items reclassified in Layer 12).</t>
        </is>
      </c>
      <c r="E5" s="6" t="inlineStr">
        <is>
          <t>Layer 7 SGM_2025_Txns (720 rows, footed)</t>
        </is>
      </c>
    </row>
    <row r="6" ht="38" customHeight="1">
      <c r="A6" s="11" t="inlineStr">
        <is>
          <t>Owner loans — Riz (non-income)</t>
        </is>
      </c>
      <c r="B6" s="13" t="n">
        <v>57317</v>
      </c>
      <c r="C6" s="14" t="inlineStr">
        <is>
          <t>NO</t>
        </is>
      </c>
      <c r="D6" s="14" t="inlineStr">
        <is>
          <t>REMOVE — loans are not income. Balance-sheet liability.</t>
        </is>
      </c>
      <c r="E6" s="14" t="inlineStr">
        <is>
          <t>Layer 7 bank classification, loan/interco category</t>
        </is>
      </c>
    </row>
    <row r="7" ht="38" customHeight="1">
      <c r="A7" s="4" t="inlineStr">
        <is>
          <t>Interco transfer — CB (non-income)</t>
        </is>
      </c>
      <c r="B7" s="5" t="n">
        <v>9551</v>
      </c>
      <c r="C7" s="6" t="inlineStr">
        <is>
          <t>NO</t>
        </is>
      </c>
      <c r="D7" s="6" t="inlineStr">
        <is>
          <t>REMOVE — interco cash movement, not revenue.</t>
        </is>
      </c>
      <c r="E7" s="6" t="inlineStr">
        <is>
          <t>Layer 7 classification</t>
        </is>
      </c>
    </row>
    <row r="8" ht="38" customHeight="1">
      <c r="A8" s="7" t="inlineStr">
        <is>
          <t>Interco transfer — SPLT (non-income)</t>
        </is>
      </c>
      <c r="B8" s="9" t="n">
        <v>1600</v>
      </c>
      <c r="C8" s="10" t="inlineStr">
        <is>
          <t>NO</t>
        </is>
      </c>
      <c r="D8" s="10" t="inlineStr">
        <is>
          <t>REMOVE — interco cash movement, not revenue.</t>
        </is>
      </c>
      <c r="E8" s="10" t="inlineStr">
        <is>
          <t>Layer 7 classification</t>
        </is>
      </c>
    </row>
    <row r="9" ht="38" customHeight="1">
      <c r="A9" s="4" t="inlineStr">
        <is>
          <t>Reversals + misc reclassifications</t>
        </is>
      </c>
      <c r="B9" s="5" t="n">
        <v>7024</v>
      </c>
      <c r="C9" s="6" t="inlineStr">
        <is>
          <t>NO</t>
        </is>
      </c>
      <c r="D9" s="6" t="inlineStr">
        <is>
          <t>REMOVE — reversals $2,390 + misc items reclassified in Layer 7→Layer 12 refinement.</t>
        </is>
      </c>
      <c r="E9" s="6" t="inlineStr">
        <is>
          <t>Layer 7 + Layer 12 recompute</t>
        </is>
      </c>
    </row>
    <row r="10" ht="38" customHeight="1">
      <c r="A10" s="16" t="inlineStr">
        <is>
          <t>FILED AS GROSS RECEIPTS (INCORRECT)</t>
        </is>
      </c>
      <c r="B10" s="18" t="n">
        <v>130976</v>
      </c>
      <c r="C10" s="19" t="inlineStr">
        <is>
          <t>—</t>
        </is>
      </c>
      <c r="D10" s="19" t="inlineStr">
        <is>
          <t>Filed 1120-S used total deposits as gross receipts. Deposit-basis error.</t>
        </is>
      </c>
      <c r="E10" s="19" t="inlineStr">
        <is>
          <t>Filed 1120-S (TJ reference)</t>
        </is>
      </c>
    </row>
    <row r="11" ht="38" customHeight="1">
      <c r="A11" s="4" t="inlineStr">
        <is>
          <t>Less: non-income deposits</t>
        </is>
      </c>
      <c r="B11" s="5" t="n">
        <v>-75492</v>
      </c>
      <c r="C11" s="6" t="inlineStr">
        <is>
          <t>—</t>
        </is>
      </c>
      <c r="D11" s="6">
        <f> Loans $57,317 + interco $11,151 + reversals/misc $7,024. All removed.</f>
        <v/>
      </c>
      <c r="E11" s="6" t="inlineStr">
        <is>
          <t>Computed removal</t>
        </is>
      </c>
    </row>
    <row r="12" ht="38" customHeight="1">
      <c r="A12" s="16">
        <f> CORRECTED GROSS RECEIPTS (AMENDED)</f>
        <v/>
      </c>
      <c r="B12" s="18" t="n">
        <v>55484</v>
      </c>
      <c r="C12" s="19" t="inlineStr">
        <is>
          <t>—</t>
        </is>
      </c>
      <c r="D12" s="19" t="inlineStr">
        <is>
          <t>LOCKED FINAL. See Part B for channel breakdown.</t>
        </is>
      </c>
      <c r="E12" s="19" t="inlineStr">
        <is>
          <t>Layer 7 + Layer 12. LOCKED.</t>
        </is>
      </c>
    </row>
    <row r="14" ht="20" customHeight="1">
      <c r="A14" s="24" t="inlineStr">
        <is>
          <t>PART B — Real Revenue Build (Amended Gross Receipts = $55,484 LOCKED)</t>
        </is>
      </c>
    </row>
    <row r="15" ht="18" customHeight="1">
      <c r="A15" s="3" t="inlineStr">
        <is>
          <t>Revenue Channel</t>
        </is>
      </c>
      <c r="B15" s="3" t="inlineStr">
        <is>
          <t>Gross</t>
        </is>
      </c>
      <c r="C15" s="3" t="inlineStr">
        <is>
          <t>Fees (SGM portion)</t>
        </is>
      </c>
      <c r="D15" s="3" t="inlineStr">
        <is>
          <t>Net on SGM</t>
        </is>
      </c>
      <c r="E15" s="3" t="inlineStr">
        <is>
          <t>Source</t>
        </is>
      </c>
    </row>
    <row r="16" ht="38" customHeight="1">
      <c r="A16" s="4" t="inlineStr">
        <is>
          <t>Amazon US — SGM keeps (Jan 1–Feb 4 orders)</t>
        </is>
      </c>
      <c r="B16" s="5" t="n">
        <v>15220.8</v>
      </c>
      <c r="C16" s="5" t="n">
        <v>-7071</v>
      </c>
      <c r="D16" s="5" t="n">
        <v>8149.8</v>
      </c>
      <c r="E16" s="6" t="inlineStr">
        <is>
          <t>LOCKED. Amazon order-date dashboard, 295 items/302 units. Layer 7.</t>
        </is>
      </c>
    </row>
    <row r="17" ht="38" customHeight="1">
      <c r="A17" s="7" t="inlineStr">
        <is>
          <t>Non-Amazon bank revenue (other SGM 2025 channels)</t>
        </is>
      </c>
      <c r="B17" s="9" t="n">
        <v>34252</v>
      </c>
      <c r="C17" s="8" t="n"/>
      <c r="D17" s="9" t="n">
        <v>34252</v>
      </c>
      <c r="E17" s="10" t="inlineStr">
        <is>
          <t>SGM 2025 bank classification, Layer 7 (footed). Itemization in ledger tab SGM_2025_Txns.</t>
        </is>
      </c>
    </row>
    <row r="18" ht="38" customHeight="1">
      <c r="A18" s="4" t="inlineStr">
        <is>
          <t>Consulting — Teslarati + Video Elephant</t>
        </is>
      </c>
      <c r="B18" s="5" t="n">
        <v>6011</v>
      </c>
      <c r="C18" s="15" t="n"/>
      <c r="D18" s="5" t="n">
        <v>6011</v>
      </c>
      <c r="E18" s="6" t="inlineStr">
        <is>
          <t>Named deposits in SGM 2025 bank. Layer 7. NOT CB 2024 (confirmed Layer 9C).</t>
        </is>
      </c>
    </row>
    <row r="19" ht="38" customHeight="1">
      <c r="A19" s="16" t="inlineStr">
        <is>
          <t>TOTAL REAL GROSS RECEIPTS</t>
        </is>
      </c>
      <c r="B19" s="18" t="n">
        <v>55484</v>
      </c>
      <c r="C19" s="18" t="n">
        <v>-7071</v>
      </c>
      <c r="D19" s="18" t="n">
        <v>48413</v>
      </c>
      <c r="E19" s="19" t="inlineStr">
        <is>
          <t>LOCKED FINAL. Layer 7 + Layer 12.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2" customWidth="1" min="3" max="3"/>
  </cols>
  <sheetData>
    <row r="1" ht="26" customHeight="1">
      <c r="A1" s="1" t="inlineStr">
        <is>
          <t>SGM 2025 — COGS &amp; Inventory</t>
        </is>
      </c>
    </row>
    <row r="3" ht="18" customHeight="1">
      <c r="A3" s="3" t="inlineStr">
        <is>
          <t>Item</t>
        </is>
      </c>
      <c r="B3" s="3" t="inlineStr">
        <is>
          <t>Amount</t>
        </is>
      </c>
      <c r="C3" s="3" t="inlineStr">
        <is>
          <t>Note / Source</t>
        </is>
      </c>
    </row>
    <row r="4" ht="60" customHeight="1">
      <c r="A4" s="4" t="inlineStr">
        <is>
          <t>SGM 2025 entity status</t>
        </is>
      </c>
      <c r="B4" s="15" t="n"/>
      <c r="C4" s="6" t="inlineStr">
        <is>
          <t>Wind-down entity. SPLT INC (formed Jan 28, 2025) is the primary 2025 Splitflask operating entity. SGM's Amazon sales (Jan 1–Feb 4 only) represent its only 2025 product revenue. Product inventory/COGS for the bulk of 2025 Splitflask sales belongs on SPLT's 1120.</t>
        </is>
      </c>
    </row>
    <row r="5" ht="60" customHeight="1">
      <c r="A5" s="7" t="inlineStr">
        <is>
          <t>Amazon fees on SGM's $15,220.80 slice (referral + FBA)</t>
        </is>
      </c>
      <c r="B5" s="9" t="n">
        <v>7071</v>
      </c>
      <c r="C5" s="10" t="inlineStr">
        <is>
          <t>SUBSTANTIATED — Amazon Seller Central settlement statement. Applies to SGM's kept slice only. ~46.5% effective rate on this small pre-switch slice (includes FBA + referral + storage on orders placed before Feb 4). Nominee portion's fees followed income to SPLT. Source: Layer 11.</t>
        </is>
      </c>
    </row>
    <row r="6" ht="60" customHeight="1">
      <c r="A6" s="25" t="inlineStr">
        <is>
          <t>Splitflask product COGS for 2025</t>
        </is>
      </c>
      <c r="B6" s="12" t="n"/>
      <c r="C6" s="14" t="inlineStr">
        <is>
          <t>SPLT's balance sheet — not SGM. If TJ filed COGS on SGM's 2025 1120-S, verify each line traces to an SGM bank payment in the Layer 7 footed classification (SGM_2025_Txns ledger tab).</t>
        </is>
      </c>
    </row>
    <row r="7" ht="60" customHeight="1">
      <c r="A7" s="25" t="inlineStr">
        <is>
          <t>⚠️ TJ ACTION — check filed COGS</t>
        </is>
      </c>
      <c r="B7" s="12" t="n"/>
      <c r="C7" s="14" t="inlineStr">
        <is>
          <t>If the filed SGM 2025 1120-S included COGS, provide the Schedule A detail. Each line must trace to an SGM bank/card transaction. CB 2024 had $104K of unsubstantiated filed deductions; apply same scrutiny here. Any filed COGS without bank backing = potentially unsubstantiated.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 ht="26" customHeight="1">
      <c r="A1" s="1" t="inlineStr">
        <is>
          <t>SGM 2025 — Deductions (Substantiated) + Filed-vs-Bank Recon</t>
        </is>
      </c>
    </row>
    <row r="2">
      <c r="A2" t="inlineStr">
        <is>
          <t>Item</t>
        </is>
      </c>
      <c r="B2" t="inlineStr">
        <is>
          <t>Amount</t>
        </is>
      </c>
      <c r="C2" t="inlineStr">
        <is>
          <t>Status</t>
        </is>
      </c>
      <c r="D2" t="inlineStr">
        <is>
          <t>Notes</t>
        </is>
      </c>
    </row>
    <row r="3" ht="18" customHeight="1">
      <c r="A3" t="inlineStr">
        <is>
          <t>Amazon platform fees (SGM slice, Jan 1–Feb 4)</t>
        </is>
      </c>
      <c r="B3" t="n">
        <v>7071</v>
      </c>
      <c r="C3" t="inlineStr">
        <is>
          <t>SUBSTANTIATED</t>
        </is>
      </c>
      <c r="D3" t="inlineStr">
        <is>
          <t>Settlement-sourced; fees follow income</t>
        </is>
      </c>
    </row>
    <row r="4" ht="56" customHeight="1">
      <c r="A4" t="inlineStr">
        <is>
          <t>Augusta rule rent (warehouse $12,500 + home-office $4,000)</t>
        </is>
      </c>
      <c r="B4" t="n">
        <v>16500</v>
      </c>
      <c r="C4" t="inlineStr">
        <is>
          <t>⚠️ TJ CONFIRM</t>
        </is>
      </c>
      <c r="D4" t="inlineStr">
        <is>
          <t>14-day cap; 4 Augusta payments = 4 days used; warehouse Jan–May only</t>
        </is>
      </c>
    </row>
    <row r="5" ht="56" customHeight="1">
      <c r="A5" t="inlineStr">
        <is>
          <t>FB/Meta ads — SGM cards (···1400 $12,704 + ···0261 $2,736 + ···6559 $900)</t>
        </is>
      </c>
      <c r="B5" t="n">
        <v>16340</v>
      </c>
      <c r="C5" t="inlineStr">
        <is>
          <t>SUBSTANTIATED</t>
        </is>
      </c>
      <c r="D5" t="inlineStr">
        <is>
          <t>Invoice-attributed; ···0261 debit in bank</t>
        </is>
      </c>
    </row>
    <row r="6" ht="56" customHeight="1">
      <c r="A6" t="inlineStr">
        <is>
          <t>BANK_FEE</t>
        </is>
      </c>
      <c r="B6" t="n">
        <v>732.77</v>
      </c>
      <c r="C6" t="inlineStr">
        <is>
          <t>SUBSTANTIATED</t>
        </is>
      </c>
      <c r="D6" t="inlineStr">
        <is>
          <t>Bank service charges — SGM_2025_Txns</t>
        </is>
      </c>
    </row>
    <row r="7" ht="56" customHeight="1">
      <c r="A7" t="inlineStr">
        <is>
          <t>MEALS (gross — apply 50% haircut)</t>
        </is>
      </c>
      <c r="B7" t="n">
        <v>610.75</v>
      </c>
      <c r="C7" t="inlineStr">
        <is>
          <t>⚠️ TJ — 50% rule</t>
        </is>
      </c>
      <c r="D7" t="inlineStr">
        <is>
          <t>21 restaurant charges; TJ applies 50% → $305.38 deductible</t>
        </is>
      </c>
    </row>
    <row r="8" ht="56" customHeight="1">
      <c r="A8" t="inlineStr">
        <is>
          <t>OPEX_CONTRACTOR</t>
        </is>
      </c>
      <c r="B8" t="n">
        <v>1881.35</v>
      </c>
      <c r="C8" t="inlineStr">
        <is>
          <t>SUBSTANTIATED</t>
        </is>
      </c>
      <c r="D8" t="inlineStr">
        <is>
          <t>SGM_2025_Txns</t>
        </is>
      </c>
    </row>
    <row r="9" ht="56" customHeight="1">
      <c r="A9" t="inlineStr">
        <is>
          <t>OPEX_EDUCATION</t>
        </is>
      </c>
      <c r="B9" t="n">
        <v>259</v>
      </c>
      <c r="C9" t="inlineStr">
        <is>
          <t>SUBSTANTIATED</t>
        </is>
      </c>
      <c r="D9" t="inlineStr">
        <is>
          <t>SGM_2025_Txns</t>
        </is>
      </c>
    </row>
    <row r="10" ht="56" customHeight="1">
      <c r="A10" t="inlineStr">
        <is>
          <t>OPEX_INSURANCE (Next Insurance biz policy)</t>
        </is>
      </c>
      <c r="B10" t="n">
        <v>93.67</v>
      </c>
      <c r="C10" t="inlineStr">
        <is>
          <t>SUBSTANTIATED</t>
        </is>
      </c>
      <c r="D10" t="inlineStr">
        <is>
          <t>SGM_2025_Txns</t>
        </is>
      </c>
    </row>
    <row r="11">
      <c r="A11" t="inlineStr">
        <is>
          <t>OPEX_INSURANCE_VEHICLE (Tesla Insurance)</t>
        </is>
      </c>
      <c r="B11" t="n">
        <v>820.05</v>
      </c>
      <c r="C11" t="inlineStr">
        <is>
          <t>⚠️ DROP — TJ confirm</t>
        </is>
      </c>
      <c r="D11" t="inlineStr">
        <is>
          <t>Standard mileage election bars vehicle insurance deduction</t>
        </is>
      </c>
    </row>
    <row r="12" ht="20" customHeight="1">
      <c r="A12" t="inlineStr">
        <is>
          <t>OPEX_LEGAL_PATENT</t>
        </is>
      </c>
      <c r="B12" t="n">
        <v>670</v>
      </c>
      <c r="C12" t="inlineStr">
        <is>
          <t>SUBSTANTIATED</t>
        </is>
      </c>
      <c r="D12" t="inlineStr">
        <is>
          <t>USPTO fees; SGM_2025_Txns</t>
        </is>
      </c>
    </row>
    <row r="13" ht="130" customHeight="1">
      <c r="A13" t="inlineStr">
        <is>
          <t>OPEX_OTHER (net of flagged personal)</t>
        </is>
      </c>
      <c r="B13" t="n">
        <v>2362.35</v>
      </c>
      <c r="C13" t="inlineStr">
        <is>
          <t>⚠️ TJ REVIEW</t>
        </is>
      </c>
      <c r="D13" t="inlineStr">
        <is>
          <t>Includes $411 Westlake Baseball + $190 Reg Nursing (likely personal → ~$601 at risk); $800 CA FTX payment; T-Mobile biz %</t>
        </is>
      </c>
    </row>
    <row r="14">
      <c r="A14" t="inlineStr">
        <is>
          <t>OPEX_PLATFORM_FEE</t>
        </is>
      </c>
      <c r="B14" t="n">
        <v>154.75</v>
      </c>
      <c r="C14" t="inlineStr">
        <is>
          <t>SUBSTANTIATED</t>
        </is>
      </c>
      <c r="D14" t="inlineStr">
        <is>
          <t>SGM_2025_Txns</t>
        </is>
      </c>
    </row>
    <row r="15">
      <c r="A15" t="inlineStr">
        <is>
          <t>OPEX_SHIPPING</t>
        </is>
      </c>
      <c r="B15" t="n">
        <v>10.45</v>
      </c>
      <c r="C15" t="inlineStr">
        <is>
          <t>SUBSTANTIATED</t>
        </is>
      </c>
      <c r="D15" t="inlineStr">
        <is>
          <t>SGM_2025_Txns</t>
        </is>
      </c>
    </row>
    <row r="16">
      <c r="A16" t="inlineStr">
        <is>
          <t>OPEX_SOFTWARE</t>
        </is>
      </c>
      <c r="B16" t="n">
        <v>11044.71</v>
      </c>
      <c r="C16" t="inlineStr">
        <is>
          <t>SUBSTANTIATED</t>
        </is>
      </c>
      <c r="D16" t="inlineStr">
        <is>
          <t>Veeqo, Klaviyo, Emotive, Shopify, Adobe; SGM_2025_Txns</t>
        </is>
      </c>
    </row>
    <row r="17">
      <c r="A17" t="inlineStr">
        <is>
          <t>OPEX_SUPPLIES</t>
        </is>
      </c>
      <c r="B17" t="n">
        <v>2681.84</v>
      </c>
      <c r="C17" t="inlineStr">
        <is>
          <t>SUBSTANTIATED</t>
        </is>
      </c>
      <c r="D17" t="inlineStr">
        <is>
          <t>SGM_2025_Txns</t>
        </is>
      </c>
    </row>
    <row r="18">
      <c r="A18" t="inlineStr">
        <is>
          <t>OPEX_TRAVEL (Airbnb Jan)</t>
        </is>
      </c>
      <c r="B18" t="n">
        <v>1502.93</v>
      </c>
      <c r="C18" t="inlineStr">
        <is>
          <t>⚠️ TJ — biz purpose</t>
        </is>
      </c>
      <c r="D18" t="inlineStr">
        <is>
          <t>Airbnb 1/23 — Shark Tank prep period; document business purpose</t>
        </is>
      </c>
    </row>
    <row r="19">
      <c r="A19" t="inlineStr">
        <is>
          <t>TRAVEL (Chicago trade show + Morocco)</t>
        </is>
      </c>
      <c r="B19" t="n">
        <v>4663.17</v>
      </c>
      <c r="C19" t="inlineStr">
        <is>
          <t>⚠️ TJ — biz purpose</t>
        </is>
      </c>
      <c r="D19" t="inlineStr">
        <is>
          <t>$2,795 Int'l House Chicago + $961 Morocco (docs required); Air France $232.83 may be refunded — confirm credit</t>
        </is>
      </c>
    </row>
    <row r="20">
      <c r="A20" t="inlineStr">
        <is>
          <t>SUBTOTAL — itemized opex (excl. rent)</t>
        </is>
      </c>
      <c r="B20" t="n">
        <v>27487.79</v>
      </c>
      <c r="C20" t="inlineStr">
        <is>
          <t>Replaces $34,600 provisional</t>
        </is>
      </c>
      <c r="D20" t="inlineStr">
        <is>
          <t>Bank-sourced; TJ adjustments above reduce by est. $820–$1,421</t>
        </is>
      </c>
    </row>
    <row r="21">
      <c r="A21" t="inlineStr">
        <is>
          <t>TOTAL DEDUCTIONS</t>
        </is>
      </c>
      <c r="B21" t="n">
        <v>67398.78999999999</v>
      </c>
      <c r="C21" t="inlineStr">
        <is>
          <t>FINAL (subject to TJ calls above)</t>
        </is>
      </c>
      <c r="D21" t="inlineStr">
        <is>
          <t>Was $74,511 provisional</t>
        </is>
      </c>
    </row>
    <row r="22">
      <c r="A22" t="inlineStr">
        <is>
          <t>NOTE: $34,600 PROVISIONAL block REPLACED — PROVISIONAL flag REMOVED. Opex now fully itemized from SGM_2025_Txns bank lines.</t>
        </is>
      </c>
      <c r="C22" t="inlineStr">
        <is>
          <t>UPDATED</t>
        </is>
      </c>
      <c r="D22" t="inlineStr">
        <is>
          <t>See SUBTOTAL row above; each line traces to footed SGM WF …8625 2025 statement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50" customWidth="1" min="4" max="4"/>
  </cols>
  <sheetData>
    <row r="1" ht="26" customHeight="1">
      <c r="A1" s="1" t="inlineStr">
        <is>
          <t>SGM 2025 — Nominee Distribution &amp; Intercompany</t>
        </is>
      </c>
    </row>
    <row r="3" ht="20" customHeight="1">
      <c r="A3" s="20" t="inlineStr">
        <is>
          <t>NOMINEE TABLE — Amazon $240K (SGM TIN → SPLT)</t>
        </is>
      </c>
    </row>
    <row r="4" ht="18" customHeight="1">
      <c r="A4" s="3" t="inlineStr">
        <is>
          <t>Nominee Flow Item</t>
        </is>
      </c>
      <c r="B4" s="3" t="inlineStr">
        <is>
          <t>Amount</t>
        </is>
      </c>
      <c r="C4" s="3" t="inlineStr">
        <is>
          <t>Return Line</t>
        </is>
      </c>
      <c r="D4" s="3" t="inlineStr">
        <is>
          <t>Action / Note</t>
        </is>
      </c>
    </row>
    <row r="5" ht="46" customHeight="1">
      <c r="A5" s="4" t="inlineStr">
        <is>
          <t>Amazon 1099-K gross — SGM TIN 83-3077502</t>
        </is>
      </c>
      <c r="B5" s="5" t="n">
        <v>240009.89</v>
      </c>
      <c r="C5" s="6" t="inlineStr">
        <is>
          <t>Income — Line 1 of 1120-S (REPORT IN FULL)</t>
        </is>
      </c>
      <c r="D5" s="6" t="inlineStr">
        <is>
          <t>Do NOT net before reporting. Must appear in full on SGM 1120-S to satisfy IRS CP2000 matching.</t>
        </is>
      </c>
    </row>
    <row r="6" ht="46" customHeight="1">
      <c r="A6" s="7" t="inlineStr">
        <is>
          <t xml:space="preserve">  → SGM keeps: Jan 1–Feb 4 earned orders</t>
        </is>
      </c>
      <c r="B6" s="9" t="n">
        <v>15220.8</v>
      </c>
      <c r="C6" s="10" t="inlineStr">
        <is>
          <t>Remains as SGM income</t>
        </is>
      </c>
      <c r="D6" s="10" t="inlineStr">
        <is>
          <t>295 orders, 302 units. Source: Amazon order-date dashboard. LOCKED. Layer 7.</t>
        </is>
      </c>
    </row>
    <row r="7" ht="46" customHeight="1">
      <c r="A7" s="11" t="inlineStr">
        <is>
          <t xml:space="preserve">  → Nominee OUT to SPLT: Feb 5–Dec 31 orders</t>
        </is>
      </c>
      <c r="B7" s="13" t="n">
        <v>-224789.09</v>
      </c>
      <c r="C7" s="14" t="inlineStr">
        <is>
          <t>Other Deductions — 'Nominee Distribution to SPLT INC EIN 33-3094308'</t>
        </is>
      </c>
      <c r="D7" s="14" t="inlineStr">
        <is>
          <t>SGM must file Form 1099 (nominee) to SPLT for $224,789.09. SPLT reports as income on 2025 1120.</t>
        </is>
      </c>
    </row>
    <row r="8" ht="46" customHeight="1">
      <c r="A8" s="16" t="inlineStr">
        <is>
          <t>Net Amazon income on SGM 1120-S</t>
        </is>
      </c>
      <c r="B8" s="18" t="n">
        <v>15220.8</v>
      </c>
      <c r="C8" s="19">
        <f> Line 1 minus Nominee Deduction</f>
        <v/>
      </c>
      <c r="D8" s="19" t="inlineStr">
        <is>
          <t>Confirms: $240,009.89 − $224,789.09 = $15,220.80. Math ties.</t>
        </is>
      </c>
    </row>
    <row r="9" ht="46" customHeight="1">
      <c r="A9" s="4" t="inlineStr">
        <is>
          <t>Amazon fees — nominee portion (follows to SPLT)</t>
        </is>
      </c>
      <c r="B9" s="5" t="n">
        <v>-53030</v>
      </c>
      <c r="C9" s="6" t="inlineStr">
        <is>
          <t>On SPLT's 2025 1120 (deduction)</t>
        </is>
      </c>
      <c r="D9" s="6" t="inlineStr">
        <is>
          <t>~26.7% on $224,789 nominee amount ≈ $60,101 total fees; SGM's slice $7,071; SPLT's ~$53,030. Fees follow income (Layer 11). SGM deducts $7,071 only (see tab 5).</t>
        </is>
      </c>
    </row>
    <row r="11" ht="20" customHeight="1">
      <c r="A11" s="24" t="inlineStr">
        <is>
          <t>INTERCOMPANY ITEMS</t>
        </is>
      </c>
    </row>
    <row r="12" ht="18" customHeight="1">
      <c r="A12" s="3" t="inlineStr">
        <is>
          <t>Intercompany Item</t>
        </is>
      </c>
      <c r="B12" s="3" t="inlineStr">
        <is>
          <t>Amount</t>
        </is>
      </c>
      <c r="C12" s="3" t="inlineStr">
        <is>
          <t>Treatment</t>
        </is>
      </c>
      <c r="D12" s="3" t="inlineStr">
        <is>
          <t>TJ Note</t>
        </is>
      </c>
    </row>
    <row r="13" ht="56" customHeight="1">
      <c r="A13" s="11" t="inlineStr">
        <is>
          <t>$148,164 SGM→SPLT operating transfer</t>
        </is>
      </c>
      <c r="B13" s="13" t="n">
        <v>148164</v>
      </c>
      <c r="C13" s="14" t="inlineStr">
        <is>
          <t>Balance sheet ONLY — NOT P&amp;L. Either: LOAN (interco receivable/payable) or CAPITAL (equity transfer).</t>
        </is>
      </c>
      <c r="D13" s="14" t="inlineStr">
        <is>
          <t>⚠️ TJ DECISION REQUIRED. $148K is material. LOAN: SGM shows receivable from SPLT; SPLT shows payable to SGM (settles). CAPITAL: permanent equity transfer, different implications. Layer 10 interco recon.</t>
        </is>
      </c>
    </row>
    <row r="14" ht="56" customHeight="1">
      <c r="A14" s="7" t="inlineStr">
        <is>
          <t>CB→SGM deposits $9,551 (removed from SGM income)</t>
        </is>
      </c>
      <c r="B14" s="9" t="n">
        <v>9551</v>
      </c>
      <c r="C14" s="10" t="inlineStr">
        <is>
          <t>NON-INCOME — interco cash movement. Removed in deposit decomposition.</t>
        </is>
      </c>
      <c r="D14" s="10" t="inlineStr">
        <is>
          <t>Consistent with 2024 interco treatment. Layer 7.</t>
        </is>
      </c>
    </row>
    <row r="15" ht="56" customHeight="1">
      <c r="A15" s="4" t="inlineStr">
        <is>
          <t>SPLT→SGM deposits $1,600 (removed from SGM income)</t>
        </is>
      </c>
      <c r="B15" s="5" t="n">
        <v>1600</v>
      </c>
      <c r="C15" s="6" t="inlineStr">
        <is>
          <t>NON-INCOME — interco. Removed in deposit decomposition.</t>
        </is>
      </c>
      <c r="D15" s="6" t="inlineStr">
        <is>
          <t>Layer 7 classification.</t>
        </is>
      </c>
    </row>
    <row r="16" ht="56" customHeight="1">
      <c r="A16" s="11" t="inlineStr">
        <is>
          <t>Nominee 1099 SGM→SPLT — to be filed by TJ</t>
        </is>
      </c>
      <c r="B16" s="13" t="n">
        <v>224789.09</v>
      </c>
      <c r="C16" s="14" t="inlineStr">
        <is>
          <t>TJ files Form 1099 from SGM (payer) to SPLT (recipient) for $224,789.09.</t>
        </is>
      </c>
      <c r="D16" s="14" t="inlineStr">
        <is>
          <t>Payee: SPLT INC, EIN 33-3094308, tax year 2025. Also request corrected Amazon 1099-K under SPLT TIN (belt-and-suspenders).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28" customWidth="1" min="4" max="4"/>
    <col width="52" customWidth="1" min="5" max="5"/>
  </cols>
  <sheetData>
    <row r="1" ht="26" customHeight="1">
      <c r="A1" s="1" t="inlineStr">
        <is>
          <t>SGM 2025 — Source Index (V12 Provenance Gate)</t>
        </is>
      </c>
    </row>
    <row r="3" ht="18" customHeight="1">
      <c r="A3" s="3" t="inlineStr">
        <is>
          <t>Source ID</t>
        </is>
      </c>
      <c r="B3" s="3" t="inlineStr">
        <is>
          <t>Figure</t>
        </is>
      </c>
      <c r="C3" s="3" t="inlineStr">
        <is>
          <t>Amount</t>
        </is>
      </c>
      <c r="D3" s="3" t="inlineStr">
        <is>
          <t>Source Document</t>
        </is>
      </c>
      <c r="E3" s="3" t="inlineStr">
        <is>
          <t>Location / Gate Status</t>
        </is>
      </c>
    </row>
    <row r="4" ht="44" customHeight="1">
      <c r="A4" s="29" t="inlineStr">
        <is>
          <t>SRC-S25-01</t>
        </is>
      </c>
      <c r="B4" s="30" t="inlineStr">
        <is>
          <t>Amazon 1099-K gross (SGM TIN)</t>
        </is>
      </c>
      <c r="C4" s="31" t="n">
        <v>240009.89</v>
      </c>
      <c r="D4" s="30" t="inlineStr">
        <is>
          <t>Amazon 1099-K — EIN 83-3077502</t>
        </is>
      </c>
      <c r="E4" s="30" t="inlineStr">
        <is>
          <t>[CLEAN] Layer 0 LOCKED (penny-matched). CLEAN — form-sourced.</t>
        </is>
      </c>
    </row>
    <row r="5" ht="44" customHeight="1">
      <c r="A5" s="29" t="inlineStr">
        <is>
          <t>SRC-S25-02</t>
        </is>
      </c>
      <c r="B5" s="30" t="inlineStr">
        <is>
          <t>Amazon SGM kept (Jan 1–Feb 4 orders)</t>
        </is>
      </c>
      <c r="C5" s="31" t="n">
        <v>15220.8</v>
      </c>
      <c r="D5" s="30" t="inlineStr">
        <is>
          <t>Amazon Seller Central order-date dashboard</t>
        </is>
      </c>
      <c r="E5" s="30" t="inlineStr">
        <is>
          <t>[CLEAN] Layer 7. 295 orders, 302 units, order-date cutoff Feb 4, 2025. CLEAN — platform doc.</t>
        </is>
      </c>
    </row>
    <row r="6" ht="44" customHeight="1">
      <c r="A6" s="29" t="inlineStr">
        <is>
          <t>SRC-S25-03</t>
        </is>
      </c>
      <c r="B6" s="30" t="inlineStr">
        <is>
          <t>Amazon nominee to SPLT</t>
        </is>
      </c>
      <c r="C6" s="31" t="n">
        <v>224789.09</v>
      </c>
      <c r="D6" s="30" t="inlineStr">
        <is>
          <t>Derived: $240,009.89 − $15,220.80</t>
        </is>
      </c>
      <c r="E6" s="30" t="inlineStr">
        <is>
          <t>[CLEAN] Layer 7 nominee computation. Confirmed: SPLT bank received $224,281.65 (~$507 timing, confirms split). CLEAN.</t>
        </is>
      </c>
    </row>
    <row r="7" ht="44" customHeight="1">
      <c r="A7" s="29" t="inlineStr">
        <is>
          <t>SRC-S25-04</t>
        </is>
      </c>
      <c r="B7" s="30" t="inlineStr">
        <is>
          <t>Non-Amazon bank revenue</t>
        </is>
      </c>
      <c r="C7" s="31" t="n">
        <v>34252</v>
      </c>
      <c r="D7" s="30" t="inlineStr">
        <is>
          <t>SGM WF …8625 bank statements 2025</t>
        </is>
      </c>
      <c r="E7" s="30" t="inlineStr">
        <is>
          <t>[CLEAN] Layer 7 SGM_2025_Txns. 720 rows, foots to closing balance $492.38. CLEAN — footed bank statement.</t>
        </is>
      </c>
    </row>
    <row r="8" ht="44" customHeight="1">
      <c r="A8" s="29" t="inlineStr">
        <is>
          <t>SRC-S25-05</t>
        </is>
      </c>
      <c r="B8" s="30" t="inlineStr">
        <is>
          <t>Consulting (Teslarati + Video Elephant)</t>
        </is>
      </c>
      <c r="C8" s="31" t="n">
        <v>6011</v>
      </c>
      <c r="D8" s="30" t="inlineStr">
        <is>
          <t>SGM WF …8625 bank statements 2025</t>
        </is>
      </c>
      <c r="E8" s="30" t="inlineStr">
        <is>
          <t>[CLEAN] Named deposits, Layer 7. Layer 9C: NOT CB 2024. CLEAN — footed bank statement.</t>
        </is>
      </c>
    </row>
    <row r="9" ht="44" customHeight="1">
      <c r="A9" s="29" t="inlineStr">
        <is>
          <t>SRC-S25-06</t>
        </is>
      </c>
      <c r="B9" s="30" t="inlineStr">
        <is>
          <t>Owner loans removed from income</t>
        </is>
      </c>
      <c r="C9" s="31" t="n">
        <v>57317</v>
      </c>
      <c r="D9" s="30" t="inlineStr">
        <is>
          <t>SGM WF …8625 bank statements 2025</t>
        </is>
      </c>
      <c r="E9" s="30" t="inlineStr">
        <is>
          <t>[CLEAN] Layer 7 — loan/interco category. Non-income (balance-sheet liability).</t>
        </is>
      </c>
    </row>
    <row r="10" ht="44" customHeight="1">
      <c r="A10" s="29" t="inlineStr">
        <is>
          <t>SRC-S25-07</t>
        </is>
      </c>
      <c r="B10" s="30" t="inlineStr">
        <is>
          <t>Interco deposits (CB $9,551 + SPLT $1,600)</t>
        </is>
      </c>
      <c r="C10" s="31" t="n">
        <v>11151</v>
      </c>
      <c r="D10" s="30" t="inlineStr">
        <is>
          <t>SGM WF …8625 bank statements 2025</t>
        </is>
      </c>
      <c r="E10" s="30" t="inlineStr">
        <is>
          <t>[CLEAN] Layer 7 classification. Non-income interco transfers.</t>
        </is>
      </c>
    </row>
    <row r="11" ht="44" customHeight="1">
      <c r="A11" s="29" t="inlineStr">
        <is>
          <t>SRC-S25-08</t>
        </is>
      </c>
      <c r="B11" s="30" t="inlineStr">
        <is>
          <t>Amazon fees on SGM's slice</t>
        </is>
      </c>
      <c r="C11" s="31" t="n">
        <v>7071</v>
      </c>
      <c r="D11" s="30" t="inlineStr">
        <is>
          <t>Amazon Seller Central settlement statement</t>
        </is>
      </c>
      <c r="E11" s="30" t="inlineStr">
        <is>
          <t>[CLEAN] Layer 11 fee-substantiation. SGM's $15,220.80 slice only. CLEAN — platform settlement doc.</t>
        </is>
      </c>
    </row>
    <row r="12" ht="44" customHeight="1">
      <c r="A12" s="32" t="inlineStr">
        <is>
          <t>SRC-S25-09</t>
        </is>
      </c>
      <c r="B12" s="14" t="inlineStr">
        <is>
          <t>Augusta rule rent</t>
        </is>
      </c>
      <c r="C12" s="13" t="n">
        <v>16500</v>
      </c>
      <c r="D12" s="14" t="inlineStr">
        <is>
          <t>SGM WF …8625 bank statements 2025</t>
        </is>
      </c>
      <c r="E12" s="14" t="inlineStr">
        <is>
          <t>[PROVISIONAL] Bank-substantiated, Layer 7. PROVISIONAL — pending TJ 14-day cap confirmation.</t>
        </is>
      </c>
    </row>
    <row r="13" ht="44" customHeight="1">
      <c r="A13" s="29" t="inlineStr">
        <is>
          <t>SRC-S25-10</t>
        </is>
      </c>
      <c r="B13" s="30" t="inlineStr">
        <is>
          <t>FB/Meta ads — SGM cards</t>
        </is>
      </c>
      <c r="C13" s="31" t="n">
        <v>16340</v>
      </c>
      <c r="D13" s="30" t="inlineStr">
        <is>
          <t>FB 2025 invoice (134-txn, $97,769.11 total)</t>
        </is>
      </c>
      <c r="E13" s="30" t="inlineStr">
        <is>
          <t>[CLEAN] SGM cards: ···1400 $12,704.23 + ···0261 $2,736.10 + ···6559 $900.00. Debit cards in bank — count from bank, not double-add from invoice. CLEAN — invoice + bank.</t>
        </is>
      </c>
    </row>
    <row r="14" ht="44" customHeight="1">
      <c r="A14" s="32" t="inlineStr">
        <is>
          <t>SRC-S25-11</t>
        </is>
      </c>
      <c r="B14" s="14" t="inlineStr">
        <is>
          <t>Non-Amazon opex (itemized from SGM_2025_Txns)</t>
        </is>
      </c>
      <c r="C14" s="13" t="n">
        <v>27487.79</v>
      </c>
      <c r="D14" s="14" t="inlineStr">
        <is>
          <t>SGM WF …8625 bank statements 2025 — SGM_2025_Txns ledger</t>
        </is>
      </c>
      <c r="E14" s="14" t="inlineStr">
        <is>
          <t>[CLEAN] Non-Amazon opex $27,487.79 — SUBSTANTIATED (itemized from SGM_2025_Txns; see 5_Deductions for line items). PROVISIONAL flag removed. V12-eligible.</t>
        </is>
      </c>
    </row>
    <row r="15" ht="44" customHeight="1">
      <c r="A15" s="32" t="inlineStr">
        <is>
          <t>SRC-S25-12</t>
        </is>
      </c>
      <c r="B15" s="14" t="inlineStr">
        <is>
          <t>$148K SGM→SPLT transfer</t>
        </is>
      </c>
      <c r="C15" s="13" t="n">
        <v>148164</v>
      </c>
      <c r="D15" s="14" t="inlineStr">
        <is>
          <t>SGM WF …8625 + SPLT WF …0423 bank statements</t>
        </is>
      </c>
      <c r="E15" s="14" t="inlineStr">
        <is>
          <t>[PROVISIONAL] Layer 10 interco recon. Balance-sheet item; P&amp;L treatment N/A. TJ loan-vs-capital pending.</t>
        </is>
      </c>
    </row>
    <row r="16" ht="44" customHeight="1">
      <c r="A16" s="33" t="inlineStr">
        <is>
          <t>SRC-S25-13</t>
        </is>
      </c>
      <c r="B16" s="34" t="inlineStr">
        <is>
          <t>Filed gross receipts (reference only)</t>
        </is>
      </c>
      <c r="C16" s="35" t="n">
        <v>130976</v>
      </c>
      <c r="D16" s="34" t="inlineStr">
        <is>
          <t>SGM 2025 1120-S as filed</t>
        </is>
      </c>
      <c r="E16" s="34" t="inlineStr">
        <is>
          <t>[REFERENCE] REFERENCE — deposit-basis error. Not used in amended computation.</t>
        </is>
      </c>
    </row>
    <row r="17" ht="44" customHeight="1">
      <c r="A17" s="33" t="inlineStr">
        <is>
          <t>SRC-S25-14</t>
        </is>
      </c>
      <c r="B17" s="34" t="inlineStr">
        <is>
          <t>Filed net income/(loss) (reference only)</t>
        </is>
      </c>
      <c r="C17" s="35" t="n">
        <v>-32900</v>
      </c>
      <c r="D17" s="34" t="inlineStr">
        <is>
          <t>SGM 2025 1120-S as filed</t>
        </is>
      </c>
      <c r="E17" s="34" t="inlineStr">
        <is>
          <t>[REFERENCE] REFERENCE — filed deduction detail not available. TJ to provide filed 1120-S schedule.</t>
        </is>
      </c>
    </row>
    <row r="18" ht="44" customHeight="1">
      <c r="A18" s="32" t="inlineStr">
        <is>
          <t>SRC-S25-15</t>
        </is>
      </c>
      <c r="B18" s="14" t="inlineStr">
        <is>
          <t>Amended net income/(loss)</t>
        </is>
      </c>
      <c r="C18" s="13" t="n">
        <v>-11915</v>
      </c>
      <c r="D18" s="14" t="inlineStr">
        <is>
          <t>Computed: $55,484 gross − $67,398.79 deductions</t>
        </is>
      </c>
      <c r="E18" s="14" t="inlineStr">
        <is>
          <t>[CLEAN] Amended net −$11,915 — FINAL (subject to TJ calls on vehicle insurance $820, meals 50%, travel biz-purpose docs). V12-eligible.</t>
        </is>
      </c>
    </row>
    <row r="20" ht="44" customHeight="1">
      <c r="A20" s="36" t="inlineStr">
        <is>
          <t>GATE KEY: CLEAN = footed bank statement or platform/1099-K document; PROVISIONAL = bank-substantiated but pending TJ action; REFERENCE = filed return figures (not used in amended computation). V12 PROVENANCE GATE: no figure enters V12 from unfooted parse. All CLEAN sources above satisfy the gate.</t>
        </is>
      </c>
    </row>
  </sheetData>
  <mergeCells count="2">
    <mergeCell ref="A1:E1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2026-07-11T08:09:04Z</dcterms:created>
  <dcterms:modified xsi:type="dcterms:W3CDTF">2026-07-11T08:31:02Z</dcterms:modified>
</cp:coreProperties>
</file>