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99-K Recon" sheetId="2" state="visible" r:id="rId2"/>
    <sheet name="Revenue" sheetId="3" state="visible" r:id="rId3"/>
    <sheet name="COGS &amp; Inventory" sheetId="4" state="visible" r:id="rId4"/>
    <sheet name="Deductions" sheetId="5" state="visible" r:id="rId5"/>
    <sheet name="Intercompany" sheetId="6" state="visible" r:id="rId6"/>
    <sheet name="Source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808080"/>
    </font>
    <font>
      <b val="1"/>
      <color rgb="00006400"/>
    </font>
    <font>
      <b val="1"/>
      <color rgb="00C0000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0" borderId="0" pivotButton="0" quotePrefix="0" xfId="0"/>
    <xf numFmtId="4" fontId="3" fillId="0" borderId="0" applyAlignment="1" pivotButton="0" quotePrefix="0" xfId="0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4" fontId="3" fillId="5" borderId="0" applyAlignment="1" pivotButton="0" quotePrefix="0" xfId="0">
      <alignment horizontal="left" vertical="top"/>
    </xf>
    <xf numFmtId="0" fontId="3" fillId="0" borderId="0" pivotButton="0" quotePrefix="0" xfId="0"/>
    <xf numFmtId="0" fontId="3" fillId="6" borderId="0" applyAlignment="1" pivotButton="0" quotePrefix="0" xfId="0">
      <alignment horizontal="left" vertical="top"/>
    </xf>
    <xf numFmtId="4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  <xf numFmtId="4" fontId="3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right" vertical="top"/>
    </xf>
    <xf numFmtId="0" fontId="3" fillId="7" borderId="0" pivotButton="0" quotePrefix="0" xfId="0"/>
    <xf numFmtId="0" fontId="0" fillId="0" borderId="0" applyAlignment="1" pivotButton="0" quotePrefix="0" xfId="0">
      <alignment wrapText="1"/>
    </xf>
    <xf numFmtId="0" fontId="2" fillId="3" borderId="0" pivotButton="0" quotePrefix="0" xfId="0"/>
    <xf numFmtId="0" fontId="6" fillId="4" borderId="0" pivotButton="0" quotePrefix="0" xfId="0"/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55" customWidth="1" min="4" max="4"/>
  </cols>
  <sheetData>
    <row r="1">
      <c r="A1" s="1" t="inlineStr">
        <is>
          <t>CB 2024 (Schedule C) Amendment — Summary</t>
        </is>
      </c>
    </row>
    <row r="2">
      <c r="A2" t="inlineStr">
        <is>
          <t>Cyberbrands LLC  |  EIN …7466  |  WF …5090  |  2024 filing period  |  ASSEMBLY 2B — COGS corrected; TJ/Bob to finalize</t>
        </is>
      </c>
    </row>
    <row r="3">
      <c r="A3" t="inlineStr">
        <is>
          <t>Schedule C on personal Form 1040 (joint Arizechukwu &amp; Cheryl Nwosu).  Cyberbackpack product only — NOT Splitflask.</t>
        </is>
      </c>
    </row>
    <row r="5" ht="30" customHeight="1">
      <c r="A5" s="2" t="inlineStr">
        <is>
          <t>Line Item</t>
        </is>
      </c>
      <c r="B5" s="2" t="inlineStr">
        <is>
          <t>As Filed
(Schedule C)</t>
        </is>
      </c>
      <c r="C5" s="2" t="inlineStr">
        <is>
          <t>Amended
(Bank+Platform basis)</t>
        </is>
      </c>
      <c r="D5" s="2" t="inlineStr">
        <is>
          <t>Source / Note</t>
        </is>
      </c>
    </row>
    <row r="6">
      <c r="A6" s="3" t="inlineStr">
        <is>
          <t>REVENUE</t>
        </is>
      </c>
    </row>
    <row r="7">
      <c r="A7" s="4" t="inlineStr">
        <is>
          <t>Gross receipts as filed (TJ/Bob to supply from original Schedule C)</t>
        </is>
      </c>
      <c r="B7" s="5" t="inlineStr">
        <is>
          <t>—</t>
        </is>
      </c>
      <c r="C7" s="6" t="n">
        <v>107112.61</v>
      </c>
      <c r="D7" s="4" t="inlineStr">
        <is>
          <t>As-filed figure not available in source docs — TJ to confirm from 2024 personal return. Amended = $107,112.61 (bank + platform, post-BNPL correction). LOCKED.</t>
        </is>
      </c>
    </row>
    <row r="8">
      <c r="A8" s="4" t="inlineStr">
        <is>
          <t xml:space="preserve">  — Shopify CB store (bank deposits, net-of-Shopify-fees)</t>
        </is>
      </c>
      <c r="B8" t="inlineStr">
        <is>
          <t>?</t>
        </is>
      </c>
      <c r="C8" s="7" t="n">
        <v>80115.57000000001</v>
      </c>
      <c r="D8" s="4" t="inlineStr">
        <is>
          <t>S140-S151 (CB WF …5090, all 12 months footed). 1099-K for this channel is on SGM TIN ($82,263.58 S058) — not CB TIN; no CB 1099-K matching exposure for this channel.</t>
        </is>
      </c>
    </row>
    <row r="9">
      <c r="A9" s="4" t="inlineStr">
        <is>
          <t xml:space="preserve">  — Amazon CB (bank deposits, net-of-fees)</t>
        </is>
      </c>
      <c r="B9" t="inlineStr">
        <is>
          <t>?</t>
        </is>
      </c>
      <c r="C9" s="7" t="n">
        <v>14467.4</v>
      </c>
      <c r="D9" s="4" t="inlineStr">
        <is>
          <t>S140-S151. 1099-K on CB TIN …7466: $22,414.83 (S053). Bank deposits $14,467 &lt; 1099-K $22,415 → gross-up $7,948 with matching fees (see 1099-K Recon tab). LOCKED.</t>
        </is>
      </c>
    </row>
    <row r="10">
      <c r="A10" s="4" t="inlineStr">
        <is>
          <t xml:space="preserve">  — TikTok CB (bank deposits)</t>
        </is>
      </c>
      <c r="B10" t="inlineStr">
        <is>
          <t>?</t>
        </is>
      </c>
      <c r="C10" s="7" t="n">
        <v>3624.91</v>
      </c>
      <c r="D10" s="4" t="inlineStr">
        <is>
          <t>S140-S151. No CB TikTok 1099-K issued. Below threshold or payer TIN differs. Bank-substantiated; non-1099-K channel.</t>
        </is>
      </c>
    </row>
    <row r="11">
      <c r="A11" s="4" t="inlineStr">
        <is>
          <t xml:space="preserve">  — Wholesale (domestic + international / no 1099-K)</t>
        </is>
      </c>
      <c r="B11" t="inlineStr">
        <is>
          <t>?</t>
        </is>
      </c>
      <c r="C11" s="7" t="n">
        <v>8183.97</v>
      </c>
      <c r="D11" s="4" t="inlineStr">
        <is>
          <t>S140-S151. T Sportline (domestic) + Tobayama/Wise wires (Japan intl). Wholesale/intl exempt from 1099-K.</t>
        </is>
      </c>
    </row>
    <row r="12">
      <c r="A12" s="4" t="inlineStr">
        <is>
          <t xml:space="preserve">  — Marketplace (Walmart)</t>
        </is>
      </c>
      <c r="B12" t="inlineStr">
        <is>
          <t>?</t>
        </is>
      </c>
      <c r="C12" s="7" t="n">
        <v>716.76</v>
      </c>
      <c r="D12" s="4" t="inlineStr">
        <is>
          <t>S140-S151. Walmart Marketplace payouts.</t>
        </is>
      </c>
    </row>
    <row r="13">
      <c r="A13" s="4" t="inlineStr">
        <is>
          <t xml:space="preserve">  ⚠️  Channel detail sum</t>
        </is>
      </c>
      <c r="C13" s="7" t="n">
        <v>107108.61</v>
      </c>
      <c r="D13" s="8" t="inlineStr">
        <is>
          <t>⚠️  $107,108.61 = sum of 5 channels above. $4.00 delta vs locked $107,112.61. Likely minor miscellaneous item in bank; TJ confirm. Locked total = $107,112.61.</t>
        </is>
      </c>
    </row>
    <row r="14">
      <c r="A14" s="4" t="inlineStr">
        <is>
          <t xml:space="preserve">  ✗ BNPL removed (Affirm / Klarna / Afterpay — double-count correction)</t>
        </is>
      </c>
      <c r="C14" s="7" t="n">
        <v>-9448.57</v>
      </c>
      <c r="D14" s="4" t="inlineStr">
        <is>
          <t>BNPL ran through Shopify CB; already captured inside Shopify deposits + Shopify 1099-K. Separate REV_BNPL_* bank entries are double-counts. REMOVED. Owner confirmed. LOCKED.</t>
        </is>
      </c>
    </row>
    <row r="15">
      <c r="A15" s="9" t="inlineStr">
        <is>
          <t>AMENDED GROSS RECEIPTS (locked)</t>
        </is>
      </c>
      <c r="C15" s="10" t="n">
        <v>107112.61</v>
      </c>
      <c r="D15" s="11" t="inlineStr">
        <is>
          <t>LOCKED — $107,112.61. Above 1099-K floor $104,678.41. See 1099-K Recon tab.</t>
        </is>
      </c>
    </row>
    <row r="17">
      <c r="A17" s="3" t="inlineStr">
        <is>
          <t>DEDUCTIONS</t>
        </is>
      </c>
    </row>
    <row r="18">
      <c r="A18" s="4" t="inlineStr">
        <is>
          <t xml:space="preserve">  Advertising (bank-substantiated)</t>
        </is>
      </c>
      <c r="B18" t="inlineStr">
        <is>
          <t>?</t>
        </is>
      </c>
      <c r="C18" s="7" t="n">
        <v>20276.87</v>
      </c>
      <c r="D18" s="4" t="inlineStr">
        <is>
          <t>S140-S151. Incl. card ···5130 (CB WF debit = CB card). Meta $16,048.98, Google $779.75, Pinterest $289.10, TikTok $375.17, Social $55.47, ADS mix $2,728.35. SOURCED.</t>
        </is>
      </c>
    </row>
    <row r="19">
      <c r="A19" s="4" t="inlineStr">
        <is>
          <t xml:space="preserve">    ✓ Card ···5130 confirmed CB card (not SGM)</t>
        </is>
      </c>
      <c r="C19" s="7" t="n">
        <v>7873.38</v>
      </c>
      <c r="D19" s="4" t="inlineStr">
        <is>
          <t>···5130 = Cyberbrands WF debit card. $7,873.38 CB 2024 Facebook charges on this card. Within the $20,276.87 total above (not additive). Source: S140-S151 + 2024 FB invoice (S344 analog).</t>
        </is>
      </c>
    </row>
    <row r="20">
      <c r="A20" s="4" t="inlineStr">
        <is>
          <t xml:space="preserve">  ✅ COGS — inventory method (CORRECTED, Assembly 2B)</t>
        </is>
      </c>
      <c r="B20" t="inlineStr">
        <is>
          <t>?</t>
        </is>
      </c>
      <c r="C20" s="7" t="n">
        <v>24254.64</v>
      </c>
      <c r="D20" s="4" t="inlineStr">
        <is>
          <t>591 units × $41.04 per-unit Kangdao landed cost = $24,254.64. Inventory/accrual method. Replaces bank-sourced $4,178.29. ⚠️ TJ: must be consistent with SGM 2024 method; 2023 Kangdao payments NOT to be deducted on 2023 return.</t>
        </is>
      </c>
    </row>
    <row r="21">
      <c r="A21" s="4" t="inlineStr">
        <is>
          <t xml:space="preserve">  Freight — Cyberbackpack share (Path b — LOCKED owner decision)</t>
        </is>
      </c>
      <c r="B21" t="inlineStr">
        <is>
          <t>?</t>
        </is>
      </c>
      <c r="C21" s="7" t="n">
        <v>23202.5</v>
      </c>
      <c r="D21" s="4" t="inlineStr">
        <is>
          <t>LOCKED (Path b). $15,067 direct CB payments (S140 Jan $12,067 + S144 May $2,000 + S145 Jun $1,000) + $8,135.50 interco payable to SGM (CB's unpaid share of SGM-fronted CB shipment). CB deducts full $23,202.50. MATCHES SGM 2024 packet ($65,918 net). See Intercompany tab.</t>
        </is>
      </c>
    </row>
    <row r="22">
      <c r="A22" s="4" t="inlineStr">
        <is>
          <t xml:space="preserve">  OPEX (bank-substantiated)</t>
        </is>
      </c>
      <c r="B22" t="inlineStr">
        <is>
          <t>?</t>
        </is>
      </c>
      <c r="C22" s="7" t="n">
        <v>8164.18</v>
      </c>
      <c r="D22" s="4" t="inlineStr">
        <is>
          <t>S140-S151. Software $5,117.44, Travel $1,345.52, Supplies $952.57, Meals $242.12, Bank fees $140.81, Shipping $83.33, Platform fees $133.76, Contract labor $68.30, Freelance $55.25, Auto $20.00, Other $5.08. TJ: travel/meals documentation.</t>
        </is>
      </c>
    </row>
    <row r="23">
      <c r="A23" s="12" t="inlineStr">
        <is>
          <t>TOTAL DEDUCTIONS</t>
        </is>
      </c>
      <c r="C23" s="13" t="n">
        <v>75898.19</v>
      </c>
      <c r="D23" t="inlineStr">
        <is>
          <t>$20,276.87 ads + $24,254.64 COGS (corrected) + $23,202.50 freight + $8,164.18 OPEX = $75,898.19. COGS corrected from $4,178.29 to $24,254.64 (+$20,076.35). Platform fees are gross-up washes (see Deductions tab) — NOT in this total.</t>
        </is>
      </c>
    </row>
    <row r="25">
      <c r="A25" s="3" t="inlineStr">
        <is>
          <t>NET SCHEDULE C INCOME (amended)</t>
        </is>
      </c>
    </row>
    <row r="26">
      <c r="A26" s="4" t="inlineStr">
        <is>
          <t>As-filed net income (TJ/Bob to supply)</t>
        </is>
      </c>
      <c r="B26" s="5" t="inlineStr">
        <is>
          <t>—</t>
        </is>
      </c>
      <c r="C26" s="7" t="n"/>
      <c r="D26" s="4" t="inlineStr">
        <is>
          <t>TJ: provide from 2024 personal Schedule C.</t>
        </is>
      </c>
    </row>
    <row r="27">
      <c r="A27" s="14" t="inlineStr">
        <is>
          <t>Amended gross receipts</t>
        </is>
      </c>
      <c r="C27" s="15" t="n">
        <v>107112.61</v>
      </c>
      <c r="D27" t="inlineStr">
        <is>
          <t>LOCKED</t>
        </is>
      </c>
    </row>
    <row r="28">
      <c r="A28" s="14" t="inlineStr">
        <is>
          <t>Less: total deductions</t>
        </is>
      </c>
      <c r="C28" s="15" t="n">
        <v>-75898.19</v>
      </c>
      <c r="D28" t="inlineStr">
        <is>
          <t>All sourced; see Deductions tab. COGS corrected (Assembly 2B).</t>
        </is>
      </c>
    </row>
    <row r="29">
      <c r="A29" s="9" t="inlineStr">
        <is>
          <t>AMENDED NET SCHEDULE C INCOME</t>
        </is>
      </c>
      <c r="C29" s="10" t="n">
        <v>31214.42</v>
      </c>
      <c r="D29" s="11">
        <f> $107,112.61 gross receipts − $75,898.19 total deductions = $31,214.42. ASSEMBLY 2B CORRECTED. Down from provisional $51,290.77 (COGS correction: −$20,076.35). PROVISIONAL — still pending: (a) TJ review of travel/meals docs; (b) Shopify Capital interest (unknown, potentially deductible); (c) CB→SGM ad transfer $2,559.41 and mgmt $6,000 (TJ classification). Direction: FAVORABLE.</f>
        <v/>
      </c>
    </row>
    <row r="31">
      <c r="A31" s="9" t="inlineStr">
        <is>
          <t>VERDICT</t>
        </is>
      </c>
      <c r="C31" s="16" t="inlineStr">
        <is>
          <t>✅ FAVORABLE (CORRECTED)</t>
        </is>
      </c>
      <c r="D31" t="inlineStr">
        <is>
          <t>Amendment FAVORABLE. Net Sch C $31,214.42 (profit). Deductions all bank-substantiated from 12 footed statements. COGS corrected to inventory method $24,254.64. Pending TJ items may reduce profit further (Shopify Capital interest; ad/mgmt interco). Does not raise tax vs any reasonable as-filed basis.</t>
        </is>
      </c>
    </row>
    <row r="32">
      <c r="A32" s="17" t="inlineStr">
        <is>
          <t>⚠️  CROSS-PACKET DEPENDENCY</t>
        </is>
      </c>
      <c r="D32" s="18" t="inlineStr">
        <is>
          <t>The $8,135.50 interco payable (CB) MUST match the $8,135.50 interco receivable in SGM 2024 Amendment Packet. These are the same dollar — same CB shipment. Both packets must agree before filing either.</t>
        </is>
      </c>
    </row>
    <row r="33">
      <c r="A33" s="17" t="inlineStr">
        <is>
          <t>⚠️  SCOPE NOTE</t>
        </is>
      </c>
      <c r="D33" t="inlineStr">
        <is>
          <t>CYBERBACKPACK ONLY — this packet is for the Cyberbrands Schedule C. Splitflask revenue is EXCLUDED. Kendra Scott due diligence uses Splitflask GMV ($751,891) — no Cyberbackpack in the deal universe.</t>
        </is>
      </c>
    </row>
  </sheetData>
  <mergeCells count="3">
    <mergeCell ref="A17:D17"/>
    <mergeCell ref="A25:D25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60" customWidth="1" min="4" max="4"/>
  </cols>
  <sheetData>
    <row r="1">
      <c r="A1" s="19" t="inlineStr">
        <is>
          <t>CB 2024 — 1099-K Reconciliation</t>
        </is>
      </c>
    </row>
    <row r="2">
      <c r="A2" t="inlineStr">
        <is>
          <t>All CB-product 1099-K floors locked and penny-matched. Note: Shopify-CB 1099-K is on SGM TIN — product attribution governs.</t>
        </is>
      </c>
    </row>
    <row r="4" ht="24" customHeight="1">
      <c r="A4" s="2" t="inlineStr">
        <is>
          <t>Account / Channel</t>
        </is>
      </c>
      <c r="B4" s="2" t="inlineStr">
        <is>
          <t>1099-K Amount</t>
        </is>
      </c>
      <c r="C4" s="2" t="inlineStr">
        <is>
          <t>TIN / Product</t>
        </is>
      </c>
      <c r="D4" s="2" t="inlineStr">
        <is>
          <t>Source / Form Reference</t>
        </is>
      </c>
    </row>
    <row r="5">
      <c r="A5" s="20" t="inlineStr">
        <is>
          <t>A. 1099-K on CB TIN (EIN …7466) — creates matching exposure on CB Schedule C</t>
        </is>
      </c>
    </row>
    <row r="6">
      <c r="A6" s="4" t="inlineStr">
        <is>
          <t xml:space="preserve">  Amazon Cyberbackpack (acct 1099K_1008666995)</t>
        </is>
      </c>
      <c r="B6" s="7" t="n">
        <v>22414.83</v>
      </c>
      <c r="C6" s="4" t="inlineStr">
        <is>
          <t>CB TIN …7466 | Cyberbackpack</t>
        </is>
      </c>
      <c r="D6" s="4" t="inlineStr">
        <is>
          <t>S053: Amazon-Cyberbrands-2024-1099K-2.pdf Box 1a | Amazon Payments Inc | 126 txns | LOCKED</t>
        </is>
      </c>
    </row>
    <row r="7">
      <c r="A7" s="12" t="inlineStr">
        <is>
          <t>CB TIN total 1099-K floor</t>
        </is>
      </c>
      <c r="B7" s="13" t="n">
        <v>22414.83</v>
      </c>
      <c r="C7" s="4" t="inlineStr">
        <is>
          <t>CB TIN …7466</t>
        </is>
      </c>
      <c r="D7" s="4" t="inlineStr">
        <is>
          <t>LOCKED. This is the ONLY 1099-K on CB's own TIN. CB Schedule C must account for ≥ $22,414.83 from Amazon.</t>
        </is>
      </c>
    </row>
    <row r="9">
      <c r="A9" s="20" t="inlineStr">
        <is>
          <t>B. 1099-K on SGM TIN (EIN …7502) — Cyberbackpack PRODUCT, NOT Splitflask</t>
        </is>
      </c>
    </row>
    <row r="10">
      <c r="A10" s="18" t="inlineStr">
        <is>
          <t xml:space="preserve">  ⚠️  Shopify Cyberbrands store (acct pa_25219104950)</t>
        </is>
      </c>
      <c r="B10" s="7" t="n">
        <v>82263.58</v>
      </c>
      <c r="C10" s="4" t="inlineStr">
        <is>
          <t>SGM TIN …7502 | Cyberbackpack</t>
        </is>
      </c>
      <c r="D10" s="4" t="inlineStr">
        <is>
          <t>S058: Shopify-SGM-1099-K.pdf Box 1a | CORRECTED form | Shopify Payments TIN 39-2078979 | 433 txns | This is Cyberbackpack product in the separate Cyberbrands Shopify store (account pa_25219104950). 1099-K is on SGM's TIN → matching exposure is SGM's to manage, not CB. CB bank received $80,115.57 net. CB must report this revenue on Schedule C; IRS won't match to CB's TIN from this form. LOCKED product attribution.</t>
        </is>
      </c>
    </row>
    <row r="11">
      <c r="A11" s="12" t="inlineStr">
        <is>
          <t>Cyberbackpack product total 1099-K (both TINs)</t>
        </is>
      </c>
      <c r="B11" s="13" t="n">
        <v>104678.41</v>
      </c>
      <c r="C11" s="4" t="inlineStr">
        <is>
          <t>CB product</t>
        </is>
      </c>
      <c r="D11" s="4" t="inlineStr">
        <is>
          <t>LOCKED: $22,414.83 + $82,263.58 = $104,678.41. Context: CLAUDE.md states CB was NOT underreported at floor level.</t>
        </is>
      </c>
    </row>
    <row r="13">
      <c r="A13" s="20" t="inlineStr">
        <is>
          <t>C. CB Revenue vs 1099-K floor comparison</t>
        </is>
      </c>
    </row>
    <row r="14">
      <c r="A14" s="4" t="inlineStr">
        <is>
          <t>Amended CB revenue (bank + platform)</t>
        </is>
      </c>
      <c r="B14" s="15" t="n">
        <v>107112.61</v>
      </c>
      <c r="D14" s="4" t="inlineStr">
        <is>
          <t>LOCKED. See Revenue tab for channel breakdown.</t>
        </is>
      </c>
    </row>
    <row r="15">
      <c r="A15" s="4" t="inlineStr">
        <is>
          <t>Less: CB-product total 1099-K floor</t>
        </is>
      </c>
      <c r="B15" s="7" t="n">
        <v>-104678.41</v>
      </c>
      <c r="D15" s="4">
        <f> $22,414.83 (CB TIN) + $82,263.58 (SGM TIN, CB product)</f>
        <v/>
      </c>
    </row>
    <row r="16">
      <c r="A16" s="9" t="inlineStr">
        <is>
          <t>Revenue above 1099-K floor</t>
        </is>
      </c>
      <c r="B16" s="10" t="n">
        <v>2434.2</v>
      </c>
      <c r="D16" s="4" t="inlineStr">
        <is>
          <t>✅ CB revenue EXCEEDS 1099-K floor by $2,434. CB was NOT underreported. Non-1099-K channels (TikTok CB $3,625, wholesale $8,184, Walmart $717) exceed the gap. PASS.</t>
        </is>
      </c>
    </row>
    <row r="18">
      <c r="A18" s="20" t="inlineStr">
        <is>
          <t>D. Amazon CB: bank deposits vs 1099-K (gross-up detail)</t>
        </is>
      </c>
    </row>
    <row r="19">
      <c r="A19" s="4" t="inlineStr">
        <is>
          <t>Amazon CB 1099-K (gross)</t>
        </is>
      </c>
      <c r="B19" s="7" t="n">
        <v>22414.83</v>
      </c>
      <c r="D19" s="4" t="inlineStr">
        <is>
          <t>S053. Amazon gross consumer payments before fees/returns.</t>
        </is>
      </c>
    </row>
    <row r="20">
      <c r="A20" s="4" t="inlineStr">
        <is>
          <t>Amazon CB bank deposits (net-of-fees)</t>
        </is>
      </c>
      <c r="B20" s="7" t="n">
        <v>14467.4</v>
      </c>
      <c r="D20" s="4" t="inlineStr">
        <is>
          <t>CB_2024_Txns REV_AMAZON_CB + REV_AMAZON_US categories. S140-S151.</t>
        </is>
      </c>
    </row>
    <row r="21">
      <c r="A21" s="4" t="inlineStr">
        <is>
          <t>Implied Amazon CB platform fees + timing</t>
        </is>
      </c>
      <c r="B21" s="7" t="n">
        <v>7947.43</v>
      </c>
      <c r="D21" s="4">
        <f> $22,414.83 − $14,467.40. ~35.4% implied fee rate (consistent with Cyberbackpack category). Source as platform statement if available; currently bank-plug. TJ: request Amazon CB Seller Central 2024 settlement for stated fees.</f>
        <v/>
      </c>
    </row>
  </sheetData>
  <mergeCells count="4">
    <mergeCell ref="A5:D5"/>
    <mergeCell ref="A9:D9"/>
    <mergeCell ref="A13:D13"/>
    <mergeCell ref="A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60" customWidth="1" min="3" max="3"/>
  </cols>
  <sheetData>
    <row r="1">
      <c r="A1" s="19" t="inlineStr">
        <is>
          <t>CB 2024 — Revenue Build ($107,112.61 locked)</t>
        </is>
      </c>
    </row>
    <row r="2">
      <c r="A2" t="inlineStr">
        <is>
          <t>All figures from CB WF …5090, 12 months footed (S140–S151). BNPL $9,448.57 removed (double-count vs Shopify).</t>
        </is>
      </c>
    </row>
    <row r="4" ht="24" customHeight="1">
      <c r="A4" s="2" t="inlineStr">
        <is>
          <t>Channel / Item</t>
        </is>
      </c>
      <c r="B4" s="2" t="inlineStr">
        <is>
          <t>Amount</t>
        </is>
      </c>
      <c r="C4" s="2" t="inlineStr">
        <is>
          <t>Source / Note</t>
        </is>
      </c>
    </row>
    <row r="5">
      <c r="A5" s="20" t="inlineStr">
        <is>
          <t>REVENUE CHANNELS (post-BNPL correction)</t>
        </is>
      </c>
    </row>
    <row r="6">
      <c r="A6" s="4" t="inlineStr">
        <is>
          <t xml:space="preserve">  Shopify CB store (bank deposits, net-of-Shopify-fees)</t>
        </is>
      </c>
      <c r="B6" s="7" t="n">
        <v>80115.57000000001</v>
      </c>
      <c r="C6" s="21" t="inlineStr">
        <is>
          <t>CB_2024_Txns REV_SHOPIFY_CB. S140-S151. 12 months footed. Shopify net payouts into CB bank. Platform fee implied ~$2.1K (~2.6%). Note: 1099-K $82,263.58 is on SGM TIN — product is Cyberbackpack; IRS matching is SGM's issue; CB reports this revenue on Sch C from bank deposits.</t>
        </is>
      </c>
    </row>
    <row r="7">
      <c r="A7" s="4" t="inlineStr">
        <is>
          <t xml:space="preserve">  Amazon CB (bank deposits, net-of-Amazon-fees)</t>
        </is>
      </c>
      <c r="B7" s="7" t="n">
        <v>14467.4</v>
      </c>
      <c r="C7" s="21" t="inlineStr">
        <is>
          <t>CB_2024_Txns REV_AMAZON_CB $9,713.29 + REV_AMAZON_US $4,754.11. S140-S151. 1099-K gross $22,414.83 (S053). Bank net &lt; 1099-K → $7,947 Amazon fee implied. CB TIN 1099-K — creates matching exposure. Gross up: see 1099-K Recon tab.</t>
        </is>
      </c>
    </row>
    <row r="8">
      <c r="A8" s="4" t="inlineStr">
        <is>
          <t xml:space="preserve">  TikTok CB (bank deposits)</t>
        </is>
      </c>
      <c r="B8" s="7" t="n">
        <v>3624.91</v>
      </c>
      <c r="C8" s="21" t="inlineStr">
        <is>
          <t>CB_2024_Txns REV_TIKTOK $1,118.48 + REV_TIKTOK_CB $2,506.43. S140-S151. Category label changed mid-year. No CB TikTok 1099-K issued (below threshold or different payer TIN). Bank-substantiated.</t>
        </is>
      </c>
    </row>
    <row r="9">
      <c r="A9" s="4" t="inlineStr">
        <is>
          <t xml:space="preserve">  Wholesale (domestic + international)</t>
        </is>
      </c>
      <c r="B9" s="7" t="n">
        <v>8183.97</v>
      </c>
      <c r="C9" s="21" t="inlineStr">
        <is>
          <t>REV_WHOLESALE_DOMESTIC $1,071.90 (T Sportline, PO-0055) + REV_WHOLESALE_INTL $7,112.07 (Koichiro Tobayama/Wise wires: Mar $2,763.79, Apr $3,742.36, Aug $605.92). No 1099-K (wholesale/intl exempt). S140-S151.</t>
        </is>
      </c>
    </row>
    <row r="10">
      <c r="A10" s="4" t="inlineStr">
        <is>
          <t xml:space="preserve">  Marketplace — Walmart</t>
        </is>
      </c>
      <c r="B10" s="7" t="n">
        <v>716.76</v>
      </c>
      <c r="C10" s="21" t="inlineStr">
        <is>
          <t>REV_MARKETPLACE $646.63 + REV_MARKETPLACE_OTHER $70.13. S140-S151. Walmart Marketplace payouts.</t>
        </is>
      </c>
    </row>
    <row r="11">
      <c r="A11" s="5" t="inlineStr">
        <is>
          <t xml:space="preserve">  Channel detail subtotal</t>
        </is>
      </c>
      <c r="B11" s="22" t="n">
        <v>107108.61</v>
      </c>
      <c r="C11" s="18" t="inlineStr">
        <is>
          <t>⚠️  $4.00 below locked total. Minor miscellaneous item in bank likely. TJ confirm.</t>
        </is>
      </c>
    </row>
    <row r="13">
      <c r="A13" s="20" t="inlineStr">
        <is>
          <t>CORRECTION APPLIED</t>
        </is>
      </c>
    </row>
    <row r="14">
      <c r="A14" t="inlineStr">
        <is>
          <t xml:space="preserve">  ✗ BNPL removed (Affirm $2,889.67 + Afterpay $5,380.58 + Klarna $471.62 + BNPL_CREDIT $706.70)</t>
        </is>
      </c>
      <c r="B14" s="7" t="n">
        <v>-9448.57</v>
      </c>
      <c r="C14" t="inlineStr">
        <is>
          <t>Owner confirmed: BNPL providers ran through Shopify. Shopify remits BNPL in its total payout. REV_BNPL_* bank entries DOUBLE-COUNT the Shopify deposits + Shopify 1099-K $82,263.58. LOCKED correction. See Intercompany tab: CB-2024-BNPL-CORRECTION.</t>
        </is>
      </c>
    </row>
    <row r="16">
      <c r="A16" s="9" t="inlineStr">
        <is>
          <t>AMENDED GROSS RECEIPTS (LOCKED)</t>
        </is>
      </c>
      <c r="B16" s="10" t="n">
        <v>107112.61</v>
      </c>
      <c r="C16" s="11">
        <f> $116,561.18 (all channels incl BNPL) − $9,448.57 BNPL. LOCKED. Above 1099-K floor $104,678.41 by $2,434.</f>
        <v/>
      </c>
    </row>
    <row r="18">
      <c r="A18" s="23" t="inlineStr">
        <is>
          <t>NON-REVENUE INFLOWS (balance sheet only — NOT Schedule C)</t>
        </is>
      </c>
    </row>
    <row r="19">
      <c r="A19" t="inlineStr">
        <is>
          <t xml:space="preserve">  Intercompany from SGM (loans, advances, pass-throughs)</t>
        </is>
      </c>
      <c r="B19" s="7" t="n">
        <v>7340.71</v>
      </c>
      <c r="C19" t="inlineStr">
        <is>
          <t>Balance sheet only. See Intercompany tab.</t>
        </is>
      </c>
    </row>
    <row r="20">
      <c r="A20" t="inlineStr">
        <is>
          <t xml:space="preserve">  Shopify Capital advances (principal — liability not income)</t>
        </is>
      </c>
      <c r="B20" s="7" t="n"/>
      <c r="C20" t="inlineStr">
        <is>
          <t>Shopify Capital drawdowns are loan proceeds. NOT revenue. Repayments $34,446.07 are principal (non-deductible per owner decision).</t>
        </is>
      </c>
    </row>
    <row r="21">
      <c r="A21" t="inlineStr">
        <is>
          <t xml:space="preserve">  Shareholder loan in-flow Dec 2023 (Arize personal → CB)</t>
        </is>
      </c>
      <c r="B21" s="7" t="n">
        <v>18766.58</v>
      </c>
      <c r="C21" t="inlineStr">
        <is>
          <t>Dec 26, 2023 wire from Charles Schwab / Arize Nwosu. Repaid Feb 2024. ROUND-TRIP. Non-taxable both legs. See Intercompany tab (CB-ARIZE-2023-12-LOAN-ROUNDTRIP). NOT 2024 revenue.</t>
        </is>
      </c>
    </row>
  </sheetData>
  <mergeCells count="3">
    <mergeCell ref="A5:C5"/>
    <mergeCell ref="A18:C18"/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55" customWidth="1" min="4" max="4"/>
  </cols>
  <sheetData>
    <row r="1">
      <c r="A1" s="19" t="inlineStr">
        <is>
          <t>CB 2024 — COGS &amp; Inventory</t>
        </is>
      </c>
    </row>
    <row r="2">
      <c r="A2" t="inlineStr">
        <is>
          <t>Sourced from footed CB WF …5090 statements (S140-S151). All 12 months footed to penny — zero parser corrections. ✅ ASSEMBLY 2B CORRECTION: COGS restated from bank-sourced $4,178.29 to inventory method $24,254.64 (591 units × $41.04). See TOTAL COGS row below.</t>
        </is>
      </c>
    </row>
    <row r="4" ht="24" customHeight="1">
      <c r="A4" s="2" t="inlineStr">
        <is>
          <t>Item</t>
        </is>
      </c>
      <c r="B4" s="2" t="inlineStr">
        <is>
          <t>Amount</t>
        </is>
      </c>
      <c r="C4" s="2" t="inlineStr">
        <is>
          <t>Status</t>
        </is>
      </c>
      <c r="D4" s="2" t="inlineStr">
        <is>
          <t>Source / Note</t>
        </is>
      </c>
    </row>
    <row r="5">
      <c r="A5" s="20" t="inlineStr">
        <is>
          <t>⚠️ COST OF GOODS SOLD — CORRECTED TO INVENTORY METHOD (bank-sourced rows below are SUPERSEDED by row 9)</t>
        </is>
      </c>
    </row>
    <row r="6">
      <c r="A6" s="4" t="inlineStr">
        <is>
          <t xml:space="preserve">  ✗ SUPERSEDED — Inventory purchases (COGS_INVENTORY, bank-sourced)</t>
        </is>
      </c>
      <c r="B6" s="7" t="n">
        <v>3721.46</v>
      </c>
      <c r="C6" s="4" t="inlineStr">
        <is>
          <t>SUPERSEDED</t>
        </is>
      </c>
      <c r="D6" s="4" t="inlineStr">
        <is>
          <t>Bank-sourced $3,721.46 SUPERSEDED by inventory method. Bank captures cash paid to suppliers; inventory method captures cost of units SOLD. Under inventory/accrual basis, 2023-paid units sold in 2024 → the COGS is recognized in 2024 (year of sale), not 2023 (year of payment).</t>
        </is>
      </c>
    </row>
    <row r="7">
      <c r="A7" s="18" t="inlineStr">
        <is>
          <t xml:space="preserve">    ⚠️  Nov Kangdao $3,266.67 (related-party pass-through)</t>
        </is>
      </c>
      <c r="B7" s="7" t="n">
        <v>3266.67</v>
      </c>
      <c r="C7" s="4" t="inlineStr">
        <is>
          <t>FLAG-TJ</t>
        </is>
      </c>
      <c r="D7" s="4" t="inlineStr">
        <is>
          <t>CB received $3,267 LOAN_RELATED_PARTY (Chukwuezugo Nwosu) same month; immediately paid Kangdao $3,267. CB net retained $0.33. TJ: confirm arm's-length inventory purchase; document that Kangdao delivered Cyberbackpack units. Note: Chukwuezugo is related party (Riz's brother). NOTE (ASSEMBLY 2B): The $3,266.67 Kangdao cash payment is part of the bank-sourced COGS base, which has been SUPERSEDED by the per-unit inventory method. The Kangdao per-unit cost ($41.04) is already embedded in the corrected inventory COGS total.</t>
        </is>
      </c>
    </row>
    <row r="8">
      <c r="A8" s="4" t="inlineStr">
        <is>
          <t xml:space="preserve">  ✗ SUPERSEDED — Sourcing costs (COGS_SOURCING, bank-sourced)</t>
        </is>
      </c>
      <c r="B8" s="7" t="n">
        <v>456.83</v>
      </c>
      <c r="C8" s="4" t="inlineStr">
        <is>
          <t>SUPERSEDED</t>
        </is>
      </c>
      <c r="D8" s="4" t="inlineStr">
        <is>
          <t>Bank-sourced $456.83. SUPERSEDED by inventory method total in row 9. Do NOT add to corrected COGS.</t>
        </is>
      </c>
    </row>
    <row r="9">
      <c r="A9" s="12" t="inlineStr">
        <is>
          <t>✅ TOTAL COGS — INVENTORY METHOD (CORRECTED, ASSEMBLY 2B)</t>
        </is>
      </c>
      <c r="B9" s="13" t="n">
        <v>24254.64</v>
      </c>
      <c r="C9" s="4" t="inlineStr">
        <is>
          <t>SOURCED — CORRECTED</t>
        </is>
      </c>
      <c r="D9" s="4" t="inlineStr">
        <is>
          <t>591 CB 2024 units sold × $41.04 per-unit Kangdao landed cost = $24,254.64. INVENTORY / ACCRUAL METHOD. Kangdao units were manufactured and paid in 2023; sold in 2024. Cost recognized in year of SALE (2024). ⚠️ METHOD NOTES FOR TJ: (a) Must be consistent with SGM 2024 method (same CPA election, same year); (b) 2023 Kangdao payments must NOT also be deducted on the 2023 Schedule C — one COGS, one year, no cross-year double-deduct; (c) Replaces (does not stack on) the bank-sourced COGS above.</t>
        </is>
      </c>
    </row>
    <row r="11">
      <c r="A11" s="23" t="inlineStr">
        <is>
          <t>✅ COGS CORRECTION SUMMARY (ASSEMBLY 2B)</t>
        </is>
      </c>
    </row>
    <row r="12" ht="36" customHeight="1">
      <c r="A12" s="24" t="inlineStr">
        <is>
          <t>Prior basis (bank-sourced): $4,178.29 | Corrected basis (inventory method): $24,254.64 | Delta: +$20,076.35 incremental deduction | Direction: FAVORABLE (reduces profit / deepens loss). Source: 591 units (CB_2024_Txns sales tally) × $41.04 per-unit (Kangdao landed cost). This correction was flagged in CLAUDE.md Assembly 2 and resolved here (Assembly 2B).</t>
        </is>
      </c>
    </row>
    <row r="14">
      <c r="A14" s="23" t="inlineStr">
        <is>
          <t>SHOPIFY CAPITAL (non-deductible — principal repayment only)</t>
        </is>
      </c>
    </row>
    <row r="15">
      <c r="A15" s="4" t="inlineStr">
        <is>
          <t xml:space="preserve">  Shopify Capital repayments (gross)</t>
        </is>
      </c>
      <c r="B15" s="7" t="n">
        <v>34713.07</v>
      </c>
      <c r="C15" s="4" t="inlineStr">
        <is>
          <t>NON-DEDUCTIBLE</t>
        </is>
      </c>
      <c r="D15" s="4" t="inlineStr">
        <is>
          <t>Principal repayments. Owner decision: principal non-deductible; interest-only treatment. TJ: extract interest portion from Shopify Capital agreement for potential deduction.</t>
        </is>
      </c>
    </row>
    <row r="16">
      <c r="A16" s="4" t="inlineStr">
        <is>
          <t xml:space="preserve">  Shopify Capital repayment return</t>
        </is>
      </c>
      <c r="B16" s="7" t="n">
        <v>-267</v>
      </c>
      <c r="C16" s="4" t="inlineStr">
        <is>
          <t>NON-DEDUCTIBLE</t>
        </is>
      </c>
      <c r="D16" s="4" t="inlineStr">
        <is>
          <t>Dec partial return $267. Net Shopify Capital repayments = $34,446.07 (principal). NOT deducted.</t>
        </is>
      </c>
    </row>
  </sheetData>
  <mergeCells count="4">
    <mergeCell ref="A5:D5"/>
    <mergeCell ref="A12:D12"/>
    <mergeCell ref="A14:D14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  <col width="55" customWidth="1" min="4" max="4"/>
  </cols>
  <sheetData>
    <row r="1">
      <c r="A1" s="19" t="inlineStr">
        <is>
          <t>CB 2024 — Deductions Schedule</t>
        </is>
      </c>
    </row>
    <row r="2">
      <c r="A2" t="inlineStr">
        <is>
          <t>SOURCED = stated from bank statement (footed). FLAG-TJ = needs owner/TJ judgment call before filing. All figures from S140-S151.</t>
        </is>
      </c>
    </row>
    <row r="4" ht="24" customHeight="1">
      <c r="A4" s="2" t="inlineStr">
        <is>
          <t>Deduction Line Item</t>
        </is>
      </c>
      <c r="B4" s="2" t="inlineStr">
        <is>
          <t>Amount</t>
        </is>
      </c>
      <c r="C4" s="2" t="inlineStr">
        <is>
          <t>Status</t>
        </is>
      </c>
      <c r="D4" s="2" t="inlineStr">
        <is>
          <t>Source / Note</t>
        </is>
      </c>
    </row>
    <row r="5">
      <c r="A5" s="20" t="inlineStr">
        <is>
          <t>COST OF GOODS SOLD</t>
        </is>
      </c>
    </row>
    <row r="6">
      <c r="A6" s="4" t="inlineStr">
        <is>
          <t>✅ COGS — inventory method (CORRECTED, Assembly 2B)</t>
        </is>
      </c>
      <c r="B6" s="7" t="n">
        <v>24254.64</v>
      </c>
      <c r="C6" s="4" t="inlineStr">
        <is>
          <t>SOURCED — CORRECTED</t>
        </is>
      </c>
      <c r="D6" s="4" t="inlineStr">
        <is>
          <t>591 CB 2024 units sold × $41.04 per-unit Kangdao landed cost = $24,254.64. Inventory/accrual method. Replaces bank-sourced $4,178.29. See COGS &amp; Inventory tab for full correction detail + method notes for TJ.</t>
        </is>
      </c>
    </row>
    <row r="8">
      <c r="A8" s="20" t="inlineStr">
        <is>
          <t>ADVERTISING</t>
        </is>
      </c>
    </row>
    <row r="9">
      <c r="A9" s="4" t="inlineStr">
        <is>
          <t xml:space="preserve">  Facebook / Meta (direct bank charges + ···5130 card)</t>
        </is>
      </c>
      <c r="B9" s="7" t="n">
        <v>16048.98</v>
      </c>
      <c r="C9" s="4" t="inlineStr">
        <is>
          <t>SOURCED</t>
        </is>
      </c>
      <c r="D9" s="4" t="inlineStr">
        <is>
          <t>ADS_FACEBOOK $10,799.36 + OPEX_ADS_FB $5,249.62. Includes card ···5130 charges (CB WF debit card, confirmed CB). Total FB: $16,048.98 bank.</t>
        </is>
      </c>
    </row>
    <row r="10">
      <c r="A10" s="4" t="inlineStr">
        <is>
          <t xml:space="preserve">  Card ···5130 CB Facebook ads (within FB total above)</t>
        </is>
      </c>
      <c r="B10" s="7" t="n">
        <v>7873.38</v>
      </c>
      <c r="C10" s="4" t="inlineStr">
        <is>
          <t>SOURCED (within above)</t>
        </is>
      </c>
      <c r="D10" s="4" t="inlineStr">
        <is>
          <t>···5130 = Cyberbrands WF debit card. $7,873.38 2024 Facebook charges on this card. CONFIRMED CB card per ledger. This is a sub-total of the FB line above — NOT additive.</t>
        </is>
      </c>
    </row>
    <row r="11">
      <c r="A11" s="4" t="inlineStr">
        <is>
          <t xml:space="preserve">  Other digital ads (Google, Pinterest, TikTok, Social)</t>
        </is>
      </c>
      <c r="B11" s="7" t="n">
        <v>1503.47</v>
      </c>
      <c r="C11" s="4" t="inlineStr">
        <is>
          <t>SOURCED</t>
        </is>
      </c>
      <c r="D11" s="4" t="inlineStr">
        <is>
          <t>Google $779.75 + Pinterest $289.10 + TikTok $375.17 + Social $55.47 + misc $3.98. S140-S151.</t>
        </is>
      </c>
    </row>
    <row r="12">
      <c r="A12" s="4" t="inlineStr">
        <is>
          <t xml:space="preserve">  ADS_MIXED (various, non-FB)</t>
        </is>
      </c>
      <c r="B12" s="7" t="n">
        <v>2728.35</v>
      </c>
      <c r="C12" s="4" t="inlineStr">
        <is>
          <t>SOURCED</t>
        </is>
      </c>
      <c r="D12" s="4" t="inlineStr">
        <is>
          <t>OPEX_ADS category, various platforms. S140-S151.</t>
        </is>
      </c>
    </row>
    <row r="13">
      <c r="A13" s="12" t="inlineStr">
        <is>
          <t>Total advertising (direct CB bank + CB card)</t>
        </is>
      </c>
      <c r="B13" s="13" t="n">
        <v>20276.87</v>
      </c>
      <c r="C13" s="4" t="inlineStr">
        <is>
          <t>SOURCED</t>
        </is>
      </c>
      <c r="D13" s="4" t="inlineStr">
        <is>
          <t>$16,048.98 FB + $1,503.47 other ads + $2,728.35 ADS_MIXED = $20,280.80 → per bank totals $20,276.87. Small rounding from sub-totals. Use $20,276.87 (bank total is authoritative).</t>
        </is>
      </c>
    </row>
    <row r="14">
      <c r="A14" s="18" t="inlineStr">
        <is>
          <t xml:space="preserve">  ⚠️  CB→SGM ad transfers (additional — NOT in the $20,276.87 above)</t>
        </is>
      </c>
      <c r="B14" s="7" t="n">
        <v>2559.41</v>
      </c>
      <c r="C14" s="4" t="inlineStr">
        <is>
          <t>FLAG-TJ</t>
        </is>
      </c>
      <c r="D14" s="4" t="inlineStr">
        <is>
          <t>CB sent SGM $2,559.41 in ad/promo transfers (INTERCO_TO_SGM_ADS). Currently balance-sheet on both sides — NEITHER entity deducting. TJ: if SGM ran CB-product ads using these funds, deduction moves to CB (reduce SGM ads, add CB ads). If Splitflask ads: no change. Do NOT double-count with $20,276.87.</t>
        </is>
      </c>
    </row>
    <row r="16">
      <c r="A16" s="20" t="inlineStr">
        <is>
          <t>FREIGHT (LOCKED — Path b, owner decision)</t>
        </is>
      </c>
    </row>
    <row r="17">
      <c r="A17" s="4" t="inlineStr">
        <is>
          <t xml:space="preserve">  Direct CB freight payments (labeled freight, S140-S151)</t>
        </is>
      </c>
      <c r="B17" s="7" t="n">
        <v>15067</v>
      </c>
      <c r="C17" s="4" t="inlineStr">
        <is>
          <t>SOURCED</t>
        </is>
      </c>
      <c r="D17" s="4" t="inlineStr">
        <is>
          <t>INTERCO_TO_SGM_FREIGHT: Jan $12,067 (S140, international freight bill) + May $2,000 (S144, "of $10,135 balance for CB shipment") + Jun $1,000 (S145, CBS Deals shipping). CB paid SGM; SGM paid freight forwarder. CB deducts its share.</t>
        </is>
      </c>
    </row>
    <row r="18">
      <c r="A18" s="4" t="inlineStr">
        <is>
          <t xml:space="preserve">  Path-b: $8,135.50 interco payable (unpaid CB share)</t>
        </is>
      </c>
      <c r="B18" s="7" t="n">
        <v>8135.5</v>
      </c>
      <c r="C18" s="4" t="inlineStr">
        <is>
          <t>SOURCED (PATH B LOCKED)</t>
        </is>
      </c>
      <c r="D18" s="4" t="inlineStr">
        <is>
          <t>SGM fronted $10,135.50 for a CB Cyberbackpack shipment (Guangzhou Wangbuliao, May 2024). CB paid $2,000 (in the $15,067 above). Remaining $8,135.50 is CB's freight cost, payable to SGM as of 12/31/2024. OWNER DECISION = Path b: CB deducts $8,135.50; SGM holds interco receivable. Matched to SGM 2024 packet.</t>
        </is>
      </c>
    </row>
    <row r="19">
      <c r="A19" s="9" t="inlineStr">
        <is>
          <t>Total freight deduction (Path b)</t>
        </is>
      </c>
      <c r="B19" s="10" t="n">
        <v>23202.5</v>
      </c>
      <c r="C19" s="4" t="inlineStr">
        <is>
          <t>LOCKED</t>
        </is>
      </c>
      <c r="D19" s="4">
        <f> $15,067.00 + $8,135.50. LOCKED (Path b). Cross-check: SGM 2024 packet net Splitflask freight = $65,918 = $89,120.50 − $15,067 − $8,135.50. Arithmetic: $65,918 + $23,202.50 = $89,120.50 = SGM gross freight. ✅ No dollar deducted twice.</f>
        <v/>
      </c>
    </row>
    <row r="21">
      <c r="A21" s="20" t="inlineStr">
        <is>
          <t>OPERATING EXPENSES</t>
        </is>
      </c>
    </row>
    <row r="22">
      <c r="A22" s="4" t="inlineStr">
        <is>
          <t xml:space="preserve">  Software / subscriptions (Shopify apps, platform tools)</t>
        </is>
      </c>
      <c r="B22" s="7" t="n">
        <v>5117.44</v>
      </c>
      <c r="C22" s="4" t="inlineStr">
        <is>
          <t>SOURCED</t>
        </is>
      </c>
      <c r="D22" s="4" t="inlineStr">
        <is>
          <t>OPEX_SOFTWARE. Largest OPEX line. Shopify subscriptions and CB e-commerce apps. S140-S151.</t>
        </is>
      </c>
    </row>
    <row r="23">
      <c r="A23" s="4" t="inlineStr">
        <is>
          <t xml:space="preserve">  Travel</t>
        </is>
      </c>
      <c r="B23" s="7" t="n">
        <v>1345.52</v>
      </c>
      <c r="C23" s="4" t="inlineStr">
        <is>
          <t>FLAG-TJ</t>
        </is>
      </c>
      <c r="D23" s="4" t="inlineStr">
        <is>
          <t>OPEX_TRAVEL. TJ: confirm business purpose documentation for all travel charges before deducting.</t>
        </is>
      </c>
    </row>
    <row r="24">
      <c r="A24" s="4" t="inlineStr">
        <is>
          <t xml:space="preserve">  Supplies</t>
        </is>
      </c>
      <c r="B24" s="7" t="n">
        <v>952.5700000000001</v>
      </c>
      <c r="C24" s="4" t="inlineStr">
        <is>
          <t>SOURCED</t>
        </is>
      </c>
      <c r="D24" s="4" t="inlineStr">
        <is>
          <t>OPEX_SUPPLIES. Less OPEX_SUPPLIES_RETURN $315.89 already excluded (return of supply purchase, not revenue). S140-S151.</t>
        </is>
      </c>
    </row>
    <row r="25">
      <c r="A25" s="4" t="inlineStr">
        <is>
          <t xml:space="preserve">  Meals</t>
        </is>
      </c>
      <c r="B25" s="7" t="n">
        <v>242.12</v>
      </c>
      <c r="C25" s="4" t="inlineStr">
        <is>
          <t>FLAG-TJ</t>
        </is>
      </c>
      <c r="D25" s="4" t="inlineStr">
        <is>
          <t>OPEX_MEALS. TJ: 50% meals limitation applies; confirm business purpose. Note: as of 2023 100% deduction for business meals expired; back to 50%.</t>
        </is>
      </c>
    </row>
    <row r="26">
      <c r="A26" s="4" t="inlineStr">
        <is>
          <t xml:space="preserve">  Bank fees</t>
        </is>
      </c>
      <c r="B26" s="7" t="n">
        <v>140.81</v>
      </c>
      <c r="C26" s="4" t="inlineStr">
        <is>
          <t>SOURCED</t>
        </is>
      </c>
      <c r="D26" s="4" t="inlineStr">
        <is>
          <t>OPEX_BANK_FEES. WF service charges and wire fees.</t>
        </is>
      </c>
    </row>
    <row r="27">
      <c r="A27" s="4" t="inlineStr">
        <is>
          <t xml:space="preserve">  Shipping (small parcels / domestic)</t>
        </is>
      </c>
      <c r="B27" s="7" t="n">
        <v>83.33</v>
      </c>
      <c r="C27" s="4" t="inlineStr">
        <is>
          <t>SOURCED</t>
        </is>
      </c>
      <c r="D27" s="4" t="inlineStr">
        <is>
          <t>OPEX_SHIPPING. Small domestic shipping costs. Separate from the major freight in Deductions tab.</t>
        </is>
      </c>
    </row>
    <row r="28">
      <c r="A28" s="4" t="inlineStr">
        <is>
          <t xml:space="preserve">  Platform fees (Walmart/marketplace commissions)</t>
        </is>
      </c>
      <c r="B28" s="7" t="n">
        <v>133.76</v>
      </c>
      <c r="C28" s="4" t="inlineStr">
        <is>
          <t>SOURCED</t>
        </is>
      </c>
      <c r="D28" s="4" t="inlineStr">
        <is>
          <t>OPEX_PLATFORM_FEES. Marketplace transaction fees.</t>
        </is>
      </c>
    </row>
    <row r="29">
      <c r="A29" s="4" t="inlineStr">
        <is>
          <t xml:space="preserve">  Contract labor</t>
        </is>
      </c>
      <c r="B29" s="7" t="n">
        <v>68.3</v>
      </c>
      <c r="C29" s="4" t="inlineStr">
        <is>
          <t>FLAG-TJ</t>
        </is>
      </c>
      <c r="D29" s="4" t="inlineStr">
        <is>
          <t>OPEX_CONTRACT_LABOR. TJ: confirm 1099-NEC issued if &gt; $600 to any individual.</t>
        </is>
      </c>
    </row>
    <row r="30">
      <c r="A30" s="4" t="inlineStr">
        <is>
          <t xml:space="preserve">  Freelance</t>
        </is>
      </c>
      <c r="B30" s="7" t="n">
        <v>55.25</v>
      </c>
      <c r="C30" s="4" t="inlineStr">
        <is>
          <t>FLAG-TJ</t>
        </is>
      </c>
      <c r="D30" s="4" t="inlineStr">
        <is>
          <t>OPEX_FREELANCE. Same 1099 flag as contract labor.</t>
        </is>
      </c>
    </row>
    <row r="31">
      <c r="A31" s="4" t="inlineStr">
        <is>
          <t xml:space="preserve">  Auto (incidental)</t>
        </is>
      </c>
      <c r="B31" s="7" t="n">
        <v>20</v>
      </c>
      <c r="C31" s="4" t="inlineStr">
        <is>
          <t>SOURCED</t>
        </is>
      </c>
      <c r="D31" s="4" t="inlineStr">
        <is>
          <t>OPEX_AUTO. Small incidental auto cost.</t>
        </is>
      </c>
    </row>
    <row r="32">
      <c r="A32" s="4" t="inlineStr">
        <is>
          <t xml:space="preserve">  Other</t>
        </is>
      </c>
      <c r="B32" s="7" t="n">
        <v>5.08</v>
      </c>
      <c r="C32" s="4" t="inlineStr">
        <is>
          <t>SOURCED</t>
        </is>
      </c>
      <c r="D32" s="4" t="inlineStr">
        <is>
          <t>OPEX_OTHER. Miscellaneous.</t>
        </is>
      </c>
    </row>
    <row r="33">
      <c r="A33" s="12" t="inlineStr">
        <is>
          <t>Total OPEX</t>
        </is>
      </c>
      <c r="B33" s="13" t="n">
        <v>8164.18</v>
      </c>
      <c r="C33" s="4" t="inlineStr">
        <is>
          <t>SOURCED</t>
        </is>
      </c>
      <c r="D33" s="4" t="inlineStr">
        <is>
          <t>Sum: $5,117.44+$1,345.52+$952.57+$242.12+$140.81+$83.33+$133.76+$68.30+$55.25+$20+$5.08 = $8,164.18. TJ flags: travel, meals, contract labor.</t>
        </is>
      </c>
    </row>
    <row r="35">
      <c r="A35" s="20" t="inlineStr">
        <is>
          <t>DEDUCTION SUMMARY</t>
        </is>
      </c>
    </row>
    <row r="36">
      <c r="A36" s="4" t="inlineStr">
        <is>
          <t xml:space="preserve">  ✅ COGS (inventory method — CORRECTED)</t>
        </is>
      </c>
      <c r="B36" s="7" t="n">
        <v>24254.64</v>
      </c>
      <c r="C36" s="4" t="inlineStr">
        <is>
          <t>SOURCED — CORRECTED</t>
        </is>
      </c>
    </row>
    <row r="37">
      <c r="A37" s="4" t="inlineStr">
        <is>
          <t xml:space="preserve">  Advertising</t>
        </is>
      </c>
      <c r="B37" s="7" t="n">
        <v>20276.87</v>
      </c>
      <c r="C37" s="4" t="inlineStr">
        <is>
          <t>SOURCED</t>
        </is>
      </c>
    </row>
    <row r="38">
      <c r="A38" s="4" t="inlineStr">
        <is>
          <t xml:space="preserve">  Freight (Path b)</t>
        </is>
      </c>
      <c r="B38" s="7" t="n">
        <v>23202.5</v>
      </c>
      <c r="C38" s="4" t="inlineStr">
        <is>
          <t>LOCKED</t>
        </is>
      </c>
    </row>
    <row r="39">
      <c r="A39" s="4" t="inlineStr">
        <is>
          <t xml:space="preserve">  OPEX</t>
        </is>
      </c>
      <c r="B39" s="7" t="n">
        <v>8164.18</v>
      </c>
      <c r="C39" s="4" t="inlineStr">
        <is>
          <t>SOURCED (with 2 FLAG-TJ lines)</t>
        </is>
      </c>
    </row>
    <row r="40">
      <c r="A40" s="9" t="inlineStr">
        <is>
          <t>✅ TOTAL DEDUCTIONS (corrected COGS)</t>
        </is>
      </c>
      <c r="B40" s="10" t="n">
        <v>75898.19</v>
      </c>
      <c r="C40" s="4" t="inlineStr">
        <is>
          <t>SOURCED — CORRECTED</t>
        </is>
      </c>
      <c r="D40" t="inlineStr">
        <is>
          <t>$20,276.87 ads + $24,254.64 COGS + $23,202.50 freight + $8,164.18 OPEX. COGS corrected from bank-sourced $4,178.29 to inventory method $24,254.64 (+$20,076.35). All other lines unchanged. Platform fees below are gross-up washes — informational only, do NOT add twice.</t>
        </is>
      </c>
    </row>
    <row r="41">
      <c r="A41" t="inlineStr">
        <is>
          <t xml:space="preserve">  ✗ NOT deducted: Shopify Capital principal repayments</t>
        </is>
      </c>
      <c r="B41" s="7" t="n">
        <v>-34446.07</v>
      </c>
      <c r="C41" s="4" t="inlineStr">
        <is>
          <t>NON-DEDUCTIBLE</t>
        </is>
      </c>
      <c r="D41" s="4" t="inlineStr">
        <is>
          <t>Principal excluded per owner decision. Interest-only treatment. TJ: extract interest from Shopify Capital agreement.</t>
        </is>
      </c>
    </row>
    <row r="42">
      <c r="A42" t="inlineStr">
        <is>
          <t xml:space="preserve">  ✗ NOT deducted: Personal disbursements (Tesla payments, personal, vehicle reg)</t>
        </is>
      </c>
      <c r="B42" s="7" t="n">
        <v>-31782.58</v>
      </c>
      <c r="C42" s="4" t="inlineStr">
        <is>
          <t>NON-DEDUCTIBLE</t>
        </is>
      </c>
      <c r="D42" s="4" t="inlineStr">
        <is>
          <t>Tesla Finance monthly payments under standard mileage method (non-deductible principal); Augusta personal $7,000; CA DMV; misc personal.</t>
        </is>
      </c>
    </row>
    <row r="44">
      <c r="A44" t="inlineStr">
        <is>
          <t>DEDUCTION SWEEP — PLATFORM FEES (informational — GROSS-UP WASHES; bottom-line impact = $0 each)</t>
        </is>
      </c>
      <c r="C44" t="inlineStr">
        <is>
          <t>FLAG-TJ</t>
        </is>
      </c>
    </row>
    <row r="45">
      <c r="A45" t="inlineStr">
        <is>
          <t xml:space="preserve">  Shopify Payments fee on CB Shopify revenue (~$2,148 ESTIMATE — GROSS-UP WASH)</t>
        </is>
      </c>
      <c r="B45" t="n">
        <v>2147.98</v>
      </c>
      <c r="C45" t="inlineStr">
        <is>
          <t>ESTIMATE (WASH)</t>
        </is>
      </c>
      <c r="D45" t="inlineStr">
        <is>
          <t>Implied fee = $82,263.58 (Shopify 1099-K on SGM TIN) − $80,115.57 (CB bank deposits) = ~$2,147.98. CB revenue is currently reported at net-of-fees ($80,115.57). If TJ elects to gross up CB Shopify revenue to $82,263.58, add this $2,147.98 fee as a matching deduction — net P&amp;L = $0. If keeping net-of-fees revenue, NO separate fee deduction needed (already embedded). NOTE: the 1099-K is on SGM TIN, not CB TIN — no CB matching exposure from this channel. Do NOT include this in the TOTAL DEDUCTIONS above unless revenue is also grossed up by the same amount.</t>
        </is>
      </c>
    </row>
    <row r="46">
      <c r="A46" t="inlineStr">
        <is>
          <t xml:space="preserve">  Amazon CB platform fees (~$7,947 ESTIMATE/PLUG — GROSS-UP WASH)</t>
        </is>
      </c>
      <c r="B46" t="n">
        <v>7947.43</v>
      </c>
      <c r="C46" t="inlineStr">
        <is>
          <t>ESTIMATE/PLUG (WASH)</t>
        </is>
      </c>
      <c r="D46" t="inlineStr">
        <is>
          <t>Implied fees = $22,414.83 (Amazon CB 1099-K, CB TIN) − $14,467.40 (CB bank deposits) = ~$7,947.43. Amazon CB revenue is currently reported at net-of-fees ($14,467.40). If grossing up Amazon CB revenue to $22,414.83 (to match CB TIN 1099-K at line level), add $7,947.43 fee — net P&amp;L = $0. At aggregate level, CB total revenue ($107,112.61) already exceeds CB 1099-K floor ($104,678.41), so gross-up is optional. ACTION FOR TJ: source from Amazon CB Seller Central 2024 settlement report for stated fees (preferred over bank-plug). Do NOT include in TOTAL DEDUCTIONS above unless matching revenue gross-up is applied.</t>
        </is>
      </c>
    </row>
    <row r="47">
      <c r="A47" t="inlineStr">
        <is>
          <t xml:space="preserve">  Shopify Capital INTEREST (FLAG-TJ — amount UNKNOWN, potentially deductible)</t>
        </is>
      </c>
      <c r="C47" t="inlineStr">
        <is>
          <t>FLAG-TJ (UNQUANTIFIED)</t>
        </is>
      </c>
      <c r="D47" t="inlineStr">
        <is>
          <t>Shopify Capital gross repayments $34,713.07 (principal $34,446.07 non-deductible per owner decision). The INTEREST component is deductible business interest. Amount not extractable without the Shopify Capital agreement. TJ ACTION: obtain Shopify Capital 2024 amortization schedule or contact Shopify for interest allocation. This is NOT in the TOTAL DEDUCTIONS above — add only after amount is confirmed.</t>
        </is>
      </c>
    </row>
  </sheetData>
  <mergeCells count="5">
    <mergeCell ref="A5:D5"/>
    <mergeCell ref="A8:D8"/>
    <mergeCell ref="A35:D35"/>
    <mergeCell ref="A21:D21"/>
    <mergeCell ref="A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20" customWidth="1" min="4" max="4"/>
    <col width="55" customWidth="1" min="5" max="5"/>
  </cols>
  <sheetData>
    <row r="1">
      <c r="A1" s="19" t="inlineStr">
        <is>
          <t>CB 2024 — Intercompany Reconciliation</t>
        </is>
      </c>
    </row>
    <row r="2">
      <c r="A2" t="inlineStr">
        <is>
          <t>Layer 6 result: 0 FAIL across 30 interco lines. Both 2024 returns mutually consistent. All freight double-count checks PASS.</t>
        </is>
      </c>
    </row>
    <row r="4" ht="24" customHeight="1">
      <c r="A4" s="2" t="inlineStr">
        <is>
          <t>Item</t>
        </is>
      </c>
      <c r="B4" s="2" t="inlineStr">
        <is>
          <t>CB Amount</t>
        </is>
      </c>
      <c r="C4" s="2" t="inlineStr">
        <is>
          <t>SGM Amount</t>
        </is>
      </c>
      <c r="D4" s="2" t="inlineStr">
        <is>
          <t>Resolution</t>
        </is>
      </c>
      <c r="E4" s="2" t="inlineStr">
        <is>
          <t>Source / Note</t>
        </is>
      </c>
    </row>
    <row r="5">
      <c r="A5" s="25" t="inlineStr">
        <is>
          <t>FREIGHT INTERCOMPANY (Layer 6 — fully resolved)</t>
        </is>
      </c>
    </row>
    <row r="6">
      <c r="A6" s="4" t="inlineStr">
        <is>
          <t xml:space="preserve">  SGM gross freight to forwarders (9 wires)</t>
        </is>
      </c>
      <c r="C6" s="7" t="n">
        <v>89120.5</v>
      </c>
      <c r="D6" s="4" t="inlineStr">
        <is>
          <t>SOURCED</t>
        </is>
      </c>
      <c r="E6" s="21" t="inlineStr">
        <is>
          <t>SGM_2024_Txns FREIGHT all 9 Guangzhou wires. S110-S121 footed. This is the total third-party freight cost.</t>
        </is>
      </c>
    </row>
    <row r="7">
      <c r="A7" s="4" t="inlineStr">
        <is>
          <t xml:space="preserve">  CB labeled freight to SGM (direct payments)</t>
        </is>
      </c>
      <c r="B7" s="7" t="n">
        <v>15067</v>
      </c>
      <c r="D7" s="4" t="inlineStr">
        <is>
          <t>SOURCED</t>
        </is>
      </c>
      <c r="E7" s="21" t="inlineStr">
        <is>
          <t>CB_2024_Txns INTERCO_TO_SGM_FREIGHT: Jan $12,067 + May $2,000 + Jun $1,000. S140,S144,S145.</t>
        </is>
      </c>
    </row>
    <row r="8">
      <c r="A8" s="4" t="inlineStr">
        <is>
          <t xml:space="preserve">  Path-b: $8,135.50 interco payable (CB → SGM)</t>
        </is>
      </c>
      <c r="B8" s="7" t="n">
        <v>8135.5</v>
      </c>
      <c r="D8" s="4" t="inlineStr">
        <is>
          <t>LOCKED PATH B</t>
        </is>
      </c>
      <c r="E8" s="21" t="inlineStr">
        <is>
          <t>CB PAYABLE to SGM as of 12/31/24. SGM RECEIVABLE. CB deducts as freight cost; SGM carries as balance-sheet asset. Owner decision: Path b.</t>
        </is>
      </c>
    </row>
    <row r="9">
      <c r="A9" s="4" t="inlineStr">
        <is>
          <t xml:space="preserve">  CB total Cyberbackpack freight deduction</t>
        </is>
      </c>
      <c r="B9" s="7" t="n">
        <v>23202.5</v>
      </c>
      <c r="D9" s="4" t="inlineStr">
        <is>
          <t>LOCKED</t>
        </is>
      </c>
      <c r="E9" s="21">
        <f> $15,067 + $8,135.50. CB deducts this full amount.</f>
        <v/>
      </c>
    </row>
    <row r="10">
      <c r="A10" s="4" t="inlineStr">
        <is>
          <t xml:space="preserve">  SGM net Splitflask freight deduction</t>
        </is>
      </c>
      <c r="C10" s="7" t="n">
        <v>65918</v>
      </c>
      <c r="D10" s="4" t="inlineStr">
        <is>
          <t>LOCKED</t>
        </is>
      </c>
      <c r="E10" s="21">
        <f> $89,120.50 − $15,067 − $8,135.50. SGM 2024 packet. Matched.</f>
        <v/>
      </c>
    </row>
    <row r="11">
      <c r="A11" s="4" t="inlineStr">
        <is>
          <t xml:space="preserve">  Cross-entity arithmetic check</t>
        </is>
      </c>
      <c r="B11" s="7" t="n">
        <v>89120.5</v>
      </c>
      <c r="C11" s="7" t="n">
        <v>89120.5</v>
      </c>
      <c r="D11" s="4" t="inlineStr">
        <is>
          <t>PASS ✅</t>
        </is>
      </c>
      <c r="E11" s="21" t="inlineStr">
        <is>
          <t>$23,202.50 (CB) + $65,918.00 (SGM) = $89,120.50 = SGM gross. No dollar deducted twice.</t>
        </is>
      </c>
    </row>
    <row r="13">
      <c r="A13" s="25" t="inlineStr">
        <is>
          <t>BNPL CORRECTION (revenue double-count — locked)</t>
        </is>
      </c>
    </row>
    <row r="14">
      <c r="A14" s="4" t="inlineStr">
        <is>
          <t xml:space="preserve">  BNPL removed from CB revenue</t>
        </is>
      </c>
      <c r="B14" s="7" t="n">
        <v>-9448.57</v>
      </c>
      <c r="C14" s="7" t="n">
        <v>0</v>
      </c>
      <c r="D14" s="4" t="inlineStr">
        <is>
          <t>LOCKED ✅</t>
        </is>
      </c>
      <c r="E14" s="4" t="inlineStr">
        <is>
          <t>Owner confirmed: BNPL (Affirm/Klarna/Afterpay) ran through Shopify. Already in REV_SHOPIFY_CB and Shopify 1099-K. Double-count removed. CB revenue $116,561.18 → $107,112.61.</t>
        </is>
      </c>
    </row>
    <row r="16">
      <c r="A16" s="25" t="inlineStr">
        <is>
          <t>SHAREHOLDER LOAN ROUND-TRIP (balance sheet — non-taxable)</t>
        </is>
      </c>
    </row>
    <row r="17">
      <c r="A17" s="4" t="inlineStr">
        <is>
          <t xml:space="preserve">  Dec 26, 2023: Arize personal → CB (Charles Schwab wire)</t>
        </is>
      </c>
      <c r="B17" s="7" t="n">
        <v>18766.58</v>
      </c>
      <c r="C17" s="7" t="n">
        <v>0</v>
      </c>
      <c r="D17" s="4" t="inlineStr">
        <is>
          <t>RESOLVED ✅</t>
        </is>
      </c>
      <c r="E17" s="4" t="inlineStr">
        <is>
          <t>Source: S139 (CB Dec 2023 stmt). Wire IN $18,766.58. Loan origination from personal funds. NOT 2024 income — Dec 2023 liability on CB books.</t>
        </is>
      </c>
    </row>
    <row r="18">
      <c r="A18" s="4" t="inlineStr">
        <is>
          <t xml:space="preserve">  Feb 2024: CB → Arize personal (branch withdrawal repayment)</t>
        </is>
      </c>
      <c r="B18" s="7" t="n">
        <v>-18766.58</v>
      </c>
      <c r="C18" s="7" t="n">
        <v>0</v>
      </c>
      <c r="D18" s="4" t="inlineStr">
        <is>
          <t>RESOLVED ✅</t>
        </is>
      </c>
      <c r="E18" s="4" t="inlineStr">
        <is>
          <t>Source: S141. Feb 2024 branch withdrawal $18,766.58. Repays the Dec 2023 loan. NON-TAXABLE: loan repayment ≠ expense. Balance sheet: liability extinguished. Diligence flag CLEARED. (Previously flagged as "unknown $18,766 withdrawal.")</t>
        </is>
      </c>
    </row>
    <row r="19">
      <c r="A19" s="9" t="inlineStr">
        <is>
          <t>Net P&amp;L impact of shareholder loan round-trip</t>
        </is>
      </c>
      <c r="B19" s="10" t="n">
        <v>0</v>
      </c>
      <c r="C19" s="10" t="n">
        <v>0</v>
      </c>
      <c r="D19" s="4" t="inlineStr">
        <is>
          <t>PASS ✅</t>
        </is>
      </c>
      <c r="E19" s="4" t="inlineStr">
        <is>
          <t>Pure balance sheet. $0 impact on Schedule C income or deductions.</t>
        </is>
      </c>
    </row>
    <row r="21">
      <c r="A21" s="25" t="inlineStr">
        <is>
          <t>OTHER CB↔SGM ITEMS (TJ review items)</t>
        </is>
      </c>
    </row>
    <row r="22">
      <c r="A22" s="4" t="inlineStr">
        <is>
          <t xml:space="preserve">  CB→SGM mgmt/marketing $6,000 (3 payments)</t>
        </is>
      </c>
      <c r="B22" s="7" t="n">
        <v>6000</v>
      </c>
      <c r="C22" s="7" t="n">
        <v>6000</v>
      </c>
      <c r="D22" s="4" t="inlineStr">
        <is>
          <t>FLAG-TJ</t>
        </is>
      </c>
      <c r="E22" s="21" t="inlineStr">
        <is>
          <t>Currently balance-sheet both sides. If arm's-length service: CB deducts $6,000 as service expense; SGM recognizes $6,000 as revenue. TJ: establish service agreement or treat as interco capital.</t>
        </is>
      </c>
    </row>
    <row r="23">
      <c r="A23" s="4" t="inlineStr">
        <is>
          <t xml:space="preserve">  CB→SGM ad/promo transfers $2,559.41</t>
        </is>
      </c>
      <c r="B23" s="7" t="n">
        <v>2559.41</v>
      </c>
      <c r="C23" s="7" t="n">
        <v>2559.41</v>
      </c>
      <c r="D23" s="4" t="inlineStr">
        <is>
          <t>FLAG-TJ</t>
        </is>
      </c>
      <c r="E23" s="21" t="inlineStr">
        <is>
          <t>Balance sheet on both sides currently. If SGM ran CB-product ads: move deduction to CB, reduce SGM. If Splitflask: no change. Separate from CB direct ad total $20,276.87.</t>
        </is>
      </c>
    </row>
    <row r="24">
      <c r="A24" s="4" t="inlineStr">
        <is>
          <t xml:space="preserve">  CB→SGM inventory advances (balance sheet)</t>
        </is>
      </c>
      <c r="B24" s="7" t="n">
        <v>9858</v>
      </c>
      <c r="C24" s="7" t="n">
        <v>9858</v>
      </c>
      <c r="D24" s="4" t="inlineStr">
        <is>
          <t>PASS ✅</t>
        </is>
      </c>
      <c r="E24" s="21" t="inlineStr">
        <is>
          <t>Multiple inventory advances. Balance sheet: CB receivable / SGM payable (or inventory asset). No P&amp;L on either entity.</t>
        </is>
      </c>
    </row>
    <row r="25">
      <c r="A25" s="4" t="inlineStr">
        <is>
          <t xml:space="preserve">  SGM→CB debt repayment Feb 2024</t>
        </is>
      </c>
      <c r="B25" s="7" t="n">
        <v>11793</v>
      </c>
      <c r="C25" s="7" t="n">
        <v>11793</v>
      </c>
      <c r="D25" s="4" t="inlineStr">
        <is>
          <t>PASS ✅</t>
        </is>
      </c>
      <c r="E25" s="21" t="inlineStr">
        <is>
          <t>SGM repaid CB outstanding balance. Balance sheet on both sides. Matched. PASS.</t>
        </is>
      </c>
    </row>
    <row r="26">
      <c r="A26" s="4" t="inlineStr">
        <is>
          <t xml:space="preserve">  Dec Tesla pass-through (SGM→CB→Tesla)</t>
        </is>
      </c>
      <c r="B26" s="7" t="n">
        <v>2740.71</v>
      </c>
      <c r="C26" s="7" t="n">
        <v>2740.71</v>
      </c>
      <c r="D26" s="4" t="inlineStr">
        <is>
          <t>PASS ✅</t>
        </is>
      </c>
      <c r="E26" s="21" t="inlineStr">
        <is>
          <t>CB conduit only. P&amp;L on SGM if any (standard mileage). Net CB P&amp;L = $0.</t>
        </is>
      </c>
    </row>
    <row r="27">
      <c r="A27" s="4" t="inlineStr">
        <is>
          <t xml:space="preserve">  Jun Tesla loan SGM→CB</t>
        </is>
      </c>
      <c r="B27" s="7" t="n">
        <v>1300</v>
      </c>
      <c r="C27" s="7" t="n">
        <v>1300</v>
      </c>
      <c r="D27" s="4" t="inlineStr">
        <is>
          <t>PASS ✅</t>
        </is>
      </c>
      <c r="E27" s="21" t="inlineStr">
        <is>
          <t>Balance sheet: SGM receivable / CB payable. TJ: confirm repayment terms.</t>
        </is>
      </c>
    </row>
    <row r="28">
      <c r="A28" s="4" t="inlineStr">
        <is>
          <t xml:space="preserve">  Patent share CB→SGM $2,000</t>
        </is>
      </c>
      <c r="B28" s="7" t="n">
        <v>2000</v>
      </c>
      <c r="C28" s="7" t="n">
        <v>2000</v>
      </c>
      <c r="D28" s="4" t="inlineStr">
        <is>
          <t>FLAG-TJ</t>
        </is>
      </c>
      <c r="E28" s="21" t="inlineStr">
        <is>
          <t>CB's share of $3,410 patent filing. CB deducts $2,000; SGM deducts $1,410. TJ: confirm SGM did NOT deduct full $3,410 gross (would double-count $2,000).</t>
        </is>
      </c>
    </row>
    <row r="30">
      <c r="A30" s="26" t="inlineStr">
        <is>
          <t>⚠️  CROSS-PACKET CONSISTENCY REQUIREMENT</t>
        </is>
      </c>
    </row>
    <row r="31" ht="36" customHeight="1">
      <c r="A31" s="27" t="inlineStr">
        <is>
          <t>The $8,135.50 CB PAYABLE in this packet MUST exactly match the $8,135.50 SGM RECEIVABLE in the SGM 2024 Amendment Packet. Same shipment, same dollar, opposite sides of the intercompany ledger. Before filing either return, confirm both packets carry $8,135.50 in the same direction.</t>
        </is>
      </c>
    </row>
  </sheetData>
  <mergeCells count="6">
    <mergeCell ref="A30:E30"/>
    <mergeCell ref="A21:E21"/>
    <mergeCell ref="A16:E16"/>
    <mergeCell ref="A5:E5"/>
    <mergeCell ref="A13:E13"/>
    <mergeCell ref="A31:E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18" customWidth="1" min="4" max="4"/>
  </cols>
  <sheetData>
    <row r="1">
      <c r="A1" s="19" t="inlineStr">
        <is>
          <t>CB 2024 — Source Index (Provenance Gate)</t>
        </is>
      </c>
    </row>
    <row r="2">
      <c r="A2" t="inlineStr">
        <is>
          <t>Every figure traces to: (a) footed bank statement, (b) platform document, or (c) IRS 1099-K form. No unfooted-parse figures enter this packet.</t>
        </is>
      </c>
    </row>
    <row r="4" ht="24" customHeight="1">
      <c r="A4" s="2" t="inlineStr">
        <is>
          <t>Source ID</t>
        </is>
      </c>
      <c r="B4" s="2" t="inlineStr">
        <is>
          <t>Document Name</t>
        </is>
      </c>
      <c r="C4" s="2" t="inlineStr">
        <is>
          <t>Description / What it proves</t>
        </is>
      </c>
      <c r="D4" s="2" t="inlineStr">
        <is>
          <t>Type</t>
        </is>
      </c>
    </row>
    <row r="5" ht="48" customHeight="1">
      <c r="A5" s="4" t="inlineStr">
        <is>
          <t>S053</t>
        </is>
      </c>
      <c r="B5" s="21" t="inlineStr">
        <is>
          <t>Amazon-Cyberbrands-2024-1099K-2.pdf</t>
        </is>
      </c>
      <c r="C5" s="21" t="inlineStr">
        <is>
          <t>Amazon Cyberbrands LLC 1099-K. TIN …7466. Box 1a $22,414.83. Form 1099K_1008666995. Amazon Payments Inc. 126 txns. LOCKED.</t>
        </is>
      </c>
      <c r="D5" s="4" t="inlineStr">
        <is>
          <t>1099-K</t>
        </is>
      </c>
    </row>
    <row r="6" ht="48" customHeight="1">
      <c r="A6" s="4" t="inlineStr">
        <is>
          <t>S058</t>
        </is>
      </c>
      <c r="B6" s="21" t="inlineStr">
        <is>
          <t>Shopify-SGM-1099-K.pdf</t>
        </is>
      </c>
      <c r="C6" s="21" t="inlineStr">
        <is>
          <t>Shopify Cyberbrands store 1099-K. TIN SGM …7502 (not CB TIN). Box 1a $82,263.58. Acct pa_25219104950. CORRECTED form. Cyberbackpack product — 433 txns. IRS matching on SGM; CB reports revenue from bank deposits.</t>
        </is>
      </c>
      <c r="D6" s="4" t="inlineStr">
        <is>
          <t>1099-K</t>
        </is>
      </c>
    </row>
    <row r="7" ht="48" customHeight="1">
      <c r="A7" s="4" t="inlineStr">
        <is>
          <t>S139</t>
        </is>
      </c>
      <c r="B7" s="21" t="inlineStr">
        <is>
          <t>Cyberbrands-2023-Dec-123123 WellsFargo.pdf</t>
        </is>
      </c>
      <c r="C7" s="21" t="inlineStr">
        <is>
          <t>CB WF …5090 Dec 2023. Opening $14,226.49. Footed ✓. Key txn: 12/26 wire IN $18,766.58 from Charles Schwab/Arize Nwosu (shareholder loan origination). Closes $1,627.44 → ties to S140 opening.</t>
        </is>
      </c>
      <c r="D7" s="4" t="inlineStr">
        <is>
          <t>Bank stmt (footed)</t>
        </is>
      </c>
    </row>
    <row r="8" ht="48" customHeight="1">
      <c r="A8" s="4" t="inlineStr">
        <is>
          <t>S140</t>
        </is>
      </c>
      <c r="B8" s="21" t="inlineStr">
        <is>
          <t>cyberbrands 013124 WellsFargo (3).pdf</t>
        </is>
      </c>
      <c r="C8" s="21" t="inlineStr">
        <is>
          <t>CB WF …5090 Jan 2024. Open $1,627.44 / Close $688.28. Key txns: freight $12,067 to SGM; powerbank advance $1,429 to SGM. Footed ✓.</t>
        </is>
      </c>
      <c r="D8" s="4" t="inlineStr">
        <is>
          <t>Bank stmt (footed)</t>
        </is>
      </c>
    </row>
    <row r="9" ht="48" customHeight="1">
      <c r="A9" s="4" t="inlineStr">
        <is>
          <t>S141</t>
        </is>
      </c>
      <c r="B9" s="21" t="inlineStr">
        <is>
          <t>cyberbrands 022924 WellsFargo (3).pdf</t>
        </is>
      </c>
      <c r="C9" s="21" t="inlineStr">
        <is>
          <t>CB WF …5090 Feb 2024. Open $688.28 / Close $60.51. Key txn: $18,766.58 branch withdrawal = repayment of Dec 2023 shareholder loan. Footed ✓.</t>
        </is>
      </c>
      <c r="D9" s="4" t="inlineStr">
        <is>
          <t>Bank stmt (footed)</t>
        </is>
      </c>
    </row>
    <row r="10" ht="48" customHeight="1">
      <c r="A10" s="4" t="inlineStr">
        <is>
          <t>S142</t>
        </is>
      </c>
      <c r="B10" s="21" t="inlineStr">
        <is>
          <t>cyberbrands 033124 WellsFargo (3).pdf</t>
        </is>
      </c>
      <c r="C10" s="21" t="inlineStr">
        <is>
          <t>CB WF …5090 Mar 2024. Open $60.51 / Close $1,100.28. Patent share $2,000 to SGM; Tobayama wholesale wire in. Footed ✓.</t>
        </is>
      </c>
      <c r="D10" s="4" t="inlineStr">
        <is>
          <t>Bank stmt (footed)</t>
        </is>
      </c>
    </row>
    <row r="11" ht="48" customHeight="1">
      <c r="A11" s="4" t="inlineStr">
        <is>
          <t>S143</t>
        </is>
      </c>
      <c r="B11" s="21" t="inlineStr">
        <is>
          <t>cyberbrands 043024 WellsFargo (3).pdf</t>
        </is>
      </c>
      <c r="C11" s="21" t="inlineStr">
        <is>
          <t>CB WF …5090 Apr 2024. Open $1,100.28 / Close $2,473.33. Tobayama wholesale $3,742 in. Footed ✓.</t>
        </is>
      </c>
      <c r="D11" s="4" t="inlineStr">
        <is>
          <t>Bank stmt (footed)</t>
        </is>
      </c>
    </row>
    <row r="12" ht="48" customHeight="1">
      <c r="A12" s="4" t="inlineStr">
        <is>
          <t>S144</t>
        </is>
      </c>
      <c r="B12" s="21" t="inlineStr">
        <is>
          <t>cyberbrands 053124 WellsFargo (3).pdf</t>
        </is>
      </c>
      <c r="C12" s="21" t="inlineStr">
        <is>
          <t>CB WF …5090 May 2024. Open $2,473.33 / Close $200.81. May freight $2,000 to SGM ("of $10,135 Balance for CB Shipment") — Path-b critical txn. Footed ✓.</t>
        </is>
      </c>
      <c r="D12" s="4" t="inlineStr">
        <is>
          <t>Bank stmt (footed)</t>
        </is>
      </c>
    </row>
    <row r="13" ht="48" customHeight="1">
      <c r="A13" s="4" t="inlineStr">
        <is>
          <t>S145</t>
        </is>
      </c>
      <c r="B13" s="21" t="inlineStr">
        <is>
          <t>cyberbrands 063024 WellsFargo (3).pdf</t>
        </is>
      </c>
      <c r="C13" s="21" t="inlineStr">
        <is>
          <t>CB WF …5090 Jun 2024. Open $200.81 / Close $206.90. Jun freight $1,000 to SGM; Splitflask inventory $1,800 to SGM. Footed ✓.</t>
        </is>
      </c>
      <c r="D13" s="4" t="inlineStr">
        <is>
          <t>Bank stmt (footed)</t>
        </is>
      </c>
    </row>
    <row r="14" ht="48" customHeight="1">
      <c r="A14" s="4" t="inlineStr">
        <is>
          <t>S146</t>
        </is>
      </c>
      <c r="B14" s="21" t="inlineStr">
        <is>
          <t>cyberbrands 073124 WellsFargo (3).pdf</t>
        </is>
      </c>
      <c r="C14" s="21" t="inlineStr">
        <is>
          <t>CB WF …5090 Jul 2024. Open $206.90 / Close $382.60. Inventory advance $4,900 to SGM. Footed ✓.</t>
        </is>
      </c>
      <c r="D14" s="4" t="inlineStr">
        <is>
          <t>Bank stmt (footed)</t>
        </is>
      </c>
    </row>
    <row r="15" ht="48" customHeight="1">
      <c r="A15" s="4" t="inlineStr">
        <is>
          <t>S147</t>
        </is>
      </c>
      <c r="B15" s="21" t="inlineStr">
        <is>
          <t>cyberbrands 083124 WellsFargo (4).pdf</t>
        </is>
      </c>
      <c r="C15" s="21" t="inlineStr">
        <is>
          <t>CB WF …5090 Aug 2024. Open $382.60 / Close $580.88. Tobayama wholesale $606 in. Footed ✓.</t>
        </is>
      </c>
      <c r="D15" s="4" t="inlineStr">
        <is>
          <t>Bank stmt (footed)</t>
        </is>
      </c>
    </row>
    <row r="16" ht="48" customHeight="1">
      <c r="A16" s="4" t="inlineStr">
        <is>
          <t>S148</t>
        </is>
      </c>
      <c r="B16" s="21" t="inlineStr">
        <is>
          <t>cyberbrands 093024 WellsFargo (5).pdf</t>
        </is>
      </c>
      <c r="C16" s="21" t="inlineStr">
        <is>
          <t>CB WF …5090 Sep 2024. Open $580.88 / Close −$5.76. Small revenue month. Footed ✓.</t>
        </is>
      </c>
      <c r="D16" s="4" t="inlineStr">
        <is>
          <t>Bank stmt (footed)</t>
        </is>
      </c>
    </row>
    <row r="17" ht="48" customHeight="1">
      <c r="A17" s="4" t="inlineStr">
        <is>
          <t>S149</t>
        </is>
      </c>
      <c r="B17" s="21" t="inlineStr">
        <is>
          <t>cyberbrands 103124 WellsFargo (4).pdf</t>
        </is>
      </c>
      <c r="C17" s="21" t="inlineStr">
        <is>
          <t>CB WF …5090 Oct 2024. Open −$5.76 / Close $119.34. Shopify routing FLAG-TJ ($550.52 to SGM). Footed ✓.</t>
        </is>
      </c>
      <c r="D17" s="4" t="inlineStr">
        <is>
          <t>Bank stmt (footed)</t>
        </is>
      </c>
    </row>
    <row r="18" ht="48" customHeight="1">
      <c r="A18" s="4" t="inlineStr">
        <is>
          <t>S150</t>
        </is>
      </c>
      <c r="B18" s="21" t="inlineStr">
        <is>
          <t>cyberbrands 113024 WellsFargo (5).pdf</t>
        </is>
      </c>
      <c r="C18" s="21" t="inlineStr">
        <is>
          <t>CB WF …5090 Nov 2024. Open $119.34 / Close $493.69. Nov Kangdao inventory $3,267 (related-party). Footed ✓.</t>
        </is>
      </c>
      <c r="D18" s="4" t="inlineStr">
        <is>
          <t>Bank stmt (footed)</t>
        </is>
      </c>
    </row>
    <row r="19" ht="48" customHeight="1">
      <c r="A19" s="4" t="inlineStr">
        <is>
          <t>S151</t>
        </is>
      </c>
      <c r="B19" s="21" t="inlineStr">
        <is>
          <t>cyberbrands WellsFargo (6).pdf</t>
        </is>
      </c>
      <c r="C19" s="21" t="inlineStr">
        <is>
          <t>CB WF …5090 Dec 2024. Open $493.69 / Close $658.11. Dec Shopify Capital net return; ad charges. Footed ✓.</t>
        </is>
      </c>
      <c r="D19" s="4" t="inlineStr">
        <is>
          <t>Bank stmt (footed)</t>
        </is>
      </c>
    </row>
    <row r="20" ht="48" customHeight="1">
      <c r="A20" s="4" t="inlineStr">
        <is>
          <t>CB_2024_Txns</t>
        </is>
      </c>
      <c r="B20" s="21" t="inlineStr">
        <is>
          <t>ledger.xlsx → CB_2024_Txns tab</t>
        </is>
      </c>
      <c r="C20" s="21" t="inlineStr">
        <is>
          <t>933-row transaction classification for all CB 2024 transactions. All 12 months footed to penny. Zero parser corrections (balance-as-amount bug did not affect CB — WF single-amount-column format). Source for all classified deduction and revenue totals.</t>
        </is>
      </c>
      <c r="D20" s="4" t="inlineStr">
        <is>
          <t>Classified ledger (footed)</t>
        </is>
      </c>
    </row>
    <row r="21" ht="48" customHeight="1">
      <c r="A21" s="4" t="inlineStr">
        <is>
          <t>Intercompany tab</t>
        </is>
      </c>
      <c r="B21" s="21" t="inlineStr">
        <is>
          <t>ledger.xlsx → Intercompany tab</t>
        </is>
      </c>
      <c r="C21" s="21" t="inlineStr">
        <is>
          <t>Layer 6 intercompany reconciliation. 30 interco lines, 0 FAIL. Freight resolution, BNPL correction, shareholder loan round-trip, all interco passes documented.</t>
        </is>
      </c>
      <c r="D21" s="4" t="inlineStr">
        <is>
          <t>Ledger cross-reference</t>
        </is>
      </c>
    </row>
    <row r="22" ht="48" customHeight="1">
      <c r="A22" s="4" t="inlineStr">
        <is>
          <t>CLAUDE.md</t>
        </is>
      </c>
      <c r="B22" s="21" t="inlineStr">
        <is>
          <t>CLAUDE.md (project instructions)</t>
        </is>
      </c>
      <c r="C22" s="21" t="inlineStr">
        <is>
          <t>Locked findings, decisions, and corrections. Controls all assembly decisions. Path-b freight decision, BNPL correction, shareholder loan resolution — all documented here.</t>
        </is>
      </c>
      <c r="D22" s="4" t="inlineStr">
        <is>
          <t>Project 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2026-07-11T05:34:51Z</dcterms:created>
  <dcterms:modified xsi:type="dcterms:W3CDTF">2026-07-11T06:46:50Z</dcterms:modified>
</cp:coreProperties>
</file>