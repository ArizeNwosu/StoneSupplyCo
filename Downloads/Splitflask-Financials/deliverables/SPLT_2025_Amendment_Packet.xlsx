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ummary" sheetId="1" state="visible" r:id="rId1"/>
    <sheet name="2_1099K_Recon" sheetId="2" state="visible" r:id="rId2"/>
    <sheet name="3_Revenue" sheetId="3" state="visible" r:id="rId3"/>
    <sheet name="4_COGS_Inventory" sheetId="4" state="visible" r:id="rId4"/>
    <sheet name="5_Deductions" sheetId="5" state="visible" r:id="rId5"/>
    <sheet name="6_Nominee_Interco" sheetId="6" state="visible" r:id="rId6"/>
    <sheet name="7_Source_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2E75B6"/>
      <sz val="10"/>
    </font>
    <font>
      <b val="1"/>
      <color rgb="00FFFFFF"/>
      <sz val="10"/>
    </font>
    <font>
      <b val="1"/>
      <sz val="10"/>
    </font>
    <font>
      <sz val="10"/>
    </font>
    <font>
      <i val="1"/>
      <sz val="10"/>
    </font>
    <font>
      <b val="1"/>
      <color rgb="007F4700"/>
      <sz val="10"/>
    </font>
    <font>
      <b val="1"/>
      <color rgb="00375623"/>
      <sz val="10"/>
    </font>
    <font>
      <b val="1"/>
      <color rgb="001F4E7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CEBD3"/>
      </patternFill>
    </fill>
    <fill>
      <patternFill patternType="solid">
        <fgColor rgb="002E75B6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4" fontId="5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4" fontId="5" fillId="6" borderId="0" applyAlignment="1" pivotButton="0" quotePrefix="0" xfId="0">
      <alignment horizontal="left" vertical="center" wrapText="1"/>
    </xf>
    <xf numFmtId="4" fontId="5" fillId="3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4" fontId="5" fillId="4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4" fontId="3" fillId="7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left" vertical="center" wrapText="1"/>
    </xf>
    <xf numFmtId="4" fontId="9" fillId="8" borderId="0" applyAlignment="1" pivotButton="0" quotePrefix="0" xfId="0">
      <alignment horizontal="left" vertical="center" wrapText="1"/>
    </xf>
    <xf numFmtId="4" fontId="3" fillId="2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60" customWidth="1" min="4" max="4"/>
  </cols>
  <sheetData>
    <row r="1" ht="22" customHeight="1">
      <c r="A1" s="1" t="inlineStr">
        <is>
          <t>SPLT INC — 2025 Form 1120 Amendment Packet</t>
        </is>
      </c>
    </row>
    <row r="2" ht="16" customHeight="1">
      <c r="A2" s="2" t="inlineStr">
        <is>
          <t>EIN 33-3094308  |  WF …0423  |  Tax Year 2025  |  C-Corp (Form 1120)</t>
        </is>
      </c>
    </row>
    <row r="3"/>
    <row r="4" ht="22" customHeight="1">
      <c r="A4" s="3" t="inlineStr">
        <is>
          <t>Item</t>
        </is>
      </c>
      <c r="B4" s="4" t="inlineStr">
        <is>
          <t>As-Filed</t>
        </is>
      </c>
      <c r="C4" s="4" t="inlineStr">
        <is>
          <t>Amended</t>
        </is>
      </c>
      <c r="D4" s="4" t="inlineStr">
        <is>
          <t>Note</t>
        </is>
      </c>
    </row>
    <row r="5" ht="30" customHeight="1">
      <c r="A5" s="5" t="inlineStr">
        <is>
          <t>Gross Receipts (reported)</t>
        </is>
      </c>
      <c r="B5" s="6" t="inlineStr">
        <is>
          <t>$369,980.87</t>
        </is>
      </c>
      <c r="C5" s="6" t="inlineStr">
        <is>
          <t>$456,722.11</t>
        </is>
      </c>
      <c r="D5" s="7" t="inlineStr">
        <is>
          <t>Fix 2 + Fix 3 applied. Filed = bank deposits incl non-revenue. Amended = platform-gross basis: Amazon nominee $224,789 + Shopify 1099-K $109,064 + TikTok $25,417 + Global-E $25,754 + intl wires $7,686 + Kickstarter $54,386 (Fix 2: income) + Amazon CA $6,326 + MX $2,696 + other. BNPL $9,063 removed (Fix 3: inside Shopify 1099-K).</t>
        </is>
      </c>
    </row>
    <row r="6" ht="30" customHeight="1">
      <c r="A6" s="8" t="inlineStr">
        <is>
          <t>Non-revenue removed from gross</t>
        </is>
      </c>
      <c r="B6" s="8" t="inlineStr">
        <is>
          <t>—</t>
        </is>
      </c>
      <c r="C6" s="8" t="inlineStr">
        <is>
          <t>(excl. per channel)</t>
        </is>
      </c>
      <c r="D6" s="9" t="inlineStr">
        <is>
          <t>Owner loans $81,204 removed from gross (not income). NOTE: Kickstarter $54,386 MOVED from this exclusion to income (Fix 2). BNPL $9,063 removed as double-count (Fix 3).</t>
        </is>
      </c>
    </row>
    <row r="7" ht="30" customHeight="1">
      <c r="A7" s="5" t="inlineStr">
        <is>
          <t>Kickstarter $54,386 — INCOME (Fix 2: cash-basis C-corp)</t>
        </is>
      </c>
      <c r="B7" s="6" t="inlineStr">
        <is>
          <t>$54,386.08 (in bank)</t>
        </is>
      </c>
      <c r="C7" s="6" t="inlineStr">
        <is>
          <t>INCOME — recognized when received</t>
        </is>
      </c>
      <c r="D7" s="7" t="inlineStr">
        <is>
          <t>Fix 2: Owner decision: SPLT cash-basis C-corp → Kickstarter cash received 2025 = 2025 income. 11 deposits, $54,386.08. Prior "DEFERRED" treatment RETIRED. Fulfillment obligation remains as balance sheet liability. TJ confirm cash-basis for C-corp.</t>
        </is>
      </c>
    </row>
    <row r="8" ht="30" customHeight="1">
      <c r="A8" s="10" t="inlineStr">
        <is>
          <t>Amazon nominee received (SGM→SPLT)</t>
        </is>
      </c>
      <c r="B8" s="11" t="inlineStr">
        <is>
          <t>Not reported</t>
        </is>
      </c>
      <c r="C8" s="11" t="inlineStr">
        <is>
          <t>$224,789.09</t>
        </is>
      </c>
      <c r="D8" s="12" t="inlineStr">
        <is>
          <t>Nominee received-side. Agrees with SGM 2025 packet nominee-out $224,789.09 ✓  Cross-packet check: PASS</t>
        </is>
      </c>
    </row>
    <row r="9" ht="30" customHeight="1">
      <c r="A9" s="8" t="inlineStr">
        <is>
          <t>Amazon fees (follow income to SPLT)</t>
        </is>
      </c>
      <c r="B9" s="8" t="inlineStr">
        <is>
          <t>—</t>
        </is>
      </c>
      <c r="C9" s="8" t="inlineStr">
        <is>
          <t>$(76,485.63)</t>
        </is>
      </c>
      <c r="D9" s="9" t="inlineStr">
        <is>
          <t>Stated settlement S339. Referral + FBA + advertising + storage (provisional). Fees follow nominee income to SPLT, not SGM.</t>
        </is>
      </c>
    </row>
    <row r="10" ht="30" customHeight="1">
      <c r="A10" s="8" t="inlineStr">
        <is>
          <t>Amazon shipping labels</t>
        </is>
      </c>
      <c r="B10" s="8" t="inlineStr">
        <is>
          <t>—</t>
        </is>
      </c>
      <c r="C10" s="8" t="inlineStr">
        <is>
          <t>$(9,719.19)</t>
        </is>
      </c>
      <c r="D10" s="9" t="inlineStr">
        <is>
          <t>Stated S339. Seller-purchased return labels + FBA prep. Separate from fee total above.</t>
        </is>
      </c>
    </row>
    <row r="11" ht="30" customHeight="1">
      <c r="A11" s="8" t="inlineStr">
        <is>
          <t>Amazon returns/refunds (revenue reduction)</t>
        </is>
      </c>
      <c r="B11" s="8" t="inlineStr">
        <is>
          <t>—</t>
        </is>
      </c>
      <c r="C11" s="8" t="inlineStr">
        <is>
          <t>$(17,631.26)</t>
        </is>
      </c>
      <c r="D11" s="9" t="inlineStr">
        <is>
          <t>Revenue reduction S339. Amazon 1099-K is gross-of-returns; returns reduce net revenue. Source-verified.</t>
        </is>
      </c>
    </row>
    <row r="12" ht="30" customHeight="1">
      <c r="A12" s="5" t="inlineStr">
        <is>
          <t>Total Deductions</t>
        </is>
      </c>
      <c r="B12" s="6" t="inlineStr">
        <is>
          <t>~$360,131 (all WF bank debits)</t>
        </is>
      </c>
      <c r="C12" s="6" t="inlineStr">
        <is>
          <t>$382,529.81</t>
        </is>
      </c>
      <c r="D12" s="7" t="inlineStr">
        <is>
          <t>Assembly 4D final. Section A $100,010 + Section B $182,724 (adds Venmo $1,012 + Boardroom $1,000 + Royceton $1,300 + Frank $251; removes Paris travel $419) + Section C $99,796 (adds 6 Chase confirmed $6,080 + ···0566 $3,070 = $9,150). Removes: personal $52,999.90 + Chase card payments $118,406 (BS) + interco $1,600 + owner loans $81,204.</t>
        </is>
      </c>
    </row>
    <row r="13" ht="30" customHeight="1">
      <c r="A13" s="5" t="inlineStr">
        <is>
          <t>Net Income / (Loss)</t>
        </is>
      </c>
      <c r="B13" s="6" t="inlineStr">
        <is>
          <t>~$9,850 est.</t>
        </is>
      </c>
      <c r="C13" s="6" t="inlineStr">
        <is>
          <t>~$56,561</t>
        </is>
      </c>
      <c r="D13" s="7" t="inlineStr">
        <is>
          <t>ASSEMBLY 4D LOCKED. Gross $456,722 − returns $17,631 − deductions $382,530 = $56,561 taxable income. Corp tax ~$11,878 @ 21%. Amendment is COMPLIANCE-DRIVEN — cures 1099-K matching. Still favorable vs typical outcome because SGM 2024 −$213K pass-through likely offsets on personal return (S-corp). SPLT is a C-corp → C-corp tax owed separately on $56,561.</t>
        </is>
      </c>
    </row>
    <row r="14" ht="30" customHeight="1">
      <c r="A14" s="10" t="inlineStr">
        <is>
          <t>1099-K compliance — Amazon</t>
        </is>
      </c>
      <c r="B14" s="11" t="inlineStr">
        <is>
          <t>Unaddressed (Amazon on SGM TIN)</t>
        </is>
      </c>
      <c r="C14" s="11" t="inlineStr">
        <is>
          <t>Cured via nominee</t>
        </is>
      </c>
      <c r="D14" s="12" t="inlineStr">
        <is>
          <t>Amazon $240,010 on SGM TIN: SGM reports in full, nominees out $224,789 to SPLT. SPLT reports received-side. Satisfies IRS matching for both entities.</t>
        </is>
      </c>
    </row>
    <row r="15" ht="30" customHeight="1">
      <c r="A15" s="10" t="inlineStr">
        <is>
          <t>1099-K compliance — Shopify</t>
        </is>
      </c>
      <c r="B15" s="11" t="inlineStr">
        <is>
          <t>Shopify 1099-K $109,064 on SPLT TIN</t>
        </is>
      </c>
      <c r="C15" s="11" t="inlineStr">
        <is>
          <t>Reported at floor</t>
        </is>
      </c>
      <c r="D15" s="12" t="inlineStr">
        <is>
          <t>Shopify 1099-K on SPLT TIN 33-3094308 (CORRECTED form). Clean — no nominee needed.</t>
        </is>
      </c>
    </row>
    <row r="16" ht="30" customHeight="1">
      <c r="A16" s="5" t="inlineStr">
        <is>
          <t>Tax direction</t>
        </is>
      </c>
      <c r="B16" s="6" t="inlineStr">
        <is>
          <t>—</t>
        </is>
      </c>
      <c r="C16" s="6" t="inlineStr">
        <is>
          <t>COMPLIANCE-DRIVEN</t>
        </is>
      </c>
      <c r="D16" s="7" t="inlineStr">
        <is>
          <t>COMPLIANCE-DRIVEN. Amendment cures 1099-K matching for Amazon (nominee) + Shopify (reported at floor). Final taxable income $68,855 (~$14,460 corp tax). All 3 open items from prior packet now resolved: Chase SUBSTANTIATED, BNPL REMOVED, Kickstarter RECOGNIZED. Remaining TJ items: Shopify Capital interest split; Augusta 14-day verification; COGS method; SGM→SPLT $148K loan-vs-capital.</t>
        </is>
      </c>
    </row>
    <row r="17" ht="8" customHeight="1"/>
    <row r="18" ht="20" customHeight="1">
      <c r="A18" s="13" t="inlineStr">
        <is>
          <t>⚠️ REMAINING OPEN ITEMS (TJ + owner — all Chase/BNPL/Kickstarter items now RESOLVED)</t>
        </is>
      </c>
    </row>
    <row r="19" ht="42" customHeight="1">
      <c r="A19" s="6" t="inlineStr">
        <is>
          <t>✅ ALL CHASE FLAGGED ITEMS RESOLVED (Assembly 4D). Owner confirmed all 6 items + ···0566 as SPLT business. CGL Los Angeles $3,195 = legal expenses. Foremost Insurance $1,735 = PROPERTY insurance (warehouse/premises, NOT vehicle → not barred by std mileage). Paddle.net $432 = software. SW Airlines $186 = business travel LV. FL merchant $57 = business misc. Safety First Driving $475 = business. ···0566 MasterCard $3,070 = SPLT Meta FB ads. Total $9,150 added to Section C. Also: Venmo $1,012 + Boardroom $1,000 + Royceton $1,300 + Frank $251 reclassified from personal to deductible. Paris travel $419 reclassified personal.</t>
        </is>
      </c>
    </row>
    <row r="20" ht="42" customHeight="1">
      <c r="A20" s="6" t="inlineStr">
        <is>
          <t>✅ BNPL + Amazon CA/MX RESOLVED (Fix 3): BNPL $9,062.79 REMOVED from gross (confirmed inside Shopify 1099-K per CB 2024 pattern — Affirm/Klarna ran through Shopify Payments on Splitflask store, same platform as CB). Amazon CA $6,325.82 + MX $2,695.74 KEPT (separate marketplace accounts, NOT inside US nominee $224,789.09). ⚠️ TJ: verify if Amazon CA/MX 2025 1099-Ks are on SGM TIN (nominee treatment may also apply).</t>
        </is>
      </c>
    </row>
    <row r="21" ht="42" customHeight="1">
      <c r="A21" s="6" t="inlineStr">
        <is>
          <t>• $148,164 SGM→SPLT operating transfer: TJ: classify as LOAN (interco receivable SGM / payable SPLT) or CAPITAL (equity injection). Material — $148K affects both balance sheets differently. Not P&amp;L either way.</t>
        </is>
      </c>
    </row>
    <row r="22" ht="42" customHeight="1">
      <c r="A22" s="6" t="inlineStr">
        <is>
          <t>• Shopify Capital $4,238 — split interest vs principal: SPLT_2025_Txns DEBT_SHOPIFY_CAPITAL $4,237.64 total repaid. Split: principal (non-deductible) vs interest/financing cost (deductible). TJ: pull Shopify Capital agreement to state the deductible financing cost amount.</t>
        </is>
      </c>
    </row>
    <row r="23" ht="42" customHeight="1">
      <c r="A23" s="6" t="inlineStr">
        <is>
          <t>• COGS method — cash vs inventory: Cash: deduct all $103,463 supplier payments (paid 2025). Inventory/accrual: deduct ~$77,584 (11,244 units sold × $6.897), ending inventory $25,879 → balance sheet. TJ: confirm method consistent with SGM 2024.</t>
        </is>
      </c>
    </row>
    <row r="24" ht="42" customHeight="1">
      <c r="A24" s="6" t="inlineStr">
        <is>
          <t>• Augusta Rule rent $20,500 — 14-day cap: Bank-substantiated. TJ confirms: (a) annual usage ≤ 14 days; (b) no home-office deduction double-stack; (c) fair market rate documented. Disallow if cap exceeded.</t>
        </is>
      </c>
    </row>
    <row r="25" ht="42" customHeight="1">
      <c r="A25" s="6" t="inlineStr">
        <is>
          <t>• Meals 50% haircut confirmed: $163.30 in bank × 50% = $81.65 deductible. Applied. TJ confirm business purpose.</t>
        </is>
      </c>
    </row>
    <row r="26" ht="42" customHeight="1">
      <c r="A26" s="6" t="inlineStr">
        <is>
          <t>• Filed 1120 deduction detail — TJ must provide: Filed 1120 deduction schedule NOT available in source docs (unlike CB 2024 QB P&amp;L). TJ: provide Part II/III deduction detail so filed-vs-bank over-deduction check (CB-2024 pattern) can be completed.</t>
        </is>
      </c>
    </row>
    <row r="27" ht="42" customHeight="1">
      <c r="A27" s="6" t="inlineStr">
        <is>
          <t>• Corrected Amazon 1099-K from Amazon: Request corrected 1099-K from Amazon under SPLT TIN (EIN 33-3094308) as belt-and-suspenders. Does not change nominee treatment but reduces future inquiry risk.</t>
        </is>
      </c>
    </row>
    <row r="28"/>
    <row r="29">
      <c r="A29">
        <f>== ASSEMBLY 4C VERIFICATION FINDINGS (2026-07-11) ===</f>
        <v/>
      </c>
    </row>
    <row r="30">
      <c r="A30" t="inlineStr">
        <is>
          <t>FB Invoice Reconciliation</t>
        </is>
      </c>
      <c r="B30" t="inlineStr">
        <is>
          <t>Invoice total $97,769.11 CONFIRMED (proper CSV parse). ···3247 $51,294.89 ✓ matches Section C. ···2100 bank $22,351.63 vs invoice $21,216.81 → $1,134.82 flag (Tab 5 note added). No double-count between Sections B and C. CB 2025 FB invoice ($17,818.73 ALL on ···3247) = interco item → Tab 6 updated.</t>
        </is>
      </c>
    </row>
    <row r="31">
      <c r="A31" t="inlineStr">
        <is>
          <t>Chase charges-vs-payments</t>
        </is>
      </c>
      <c r="B31" t="inlineStr">
        <is>
          <t>WF→Chase payments $118,406, Section C charges $90,646. Gap $27,760 = CB interco ads $17,819 + flagged items $6,080 + residual $3,861 (personal/timing). Gap fully explained — no missing SPLT deductions.</t>
        </is>
      </c>
    </row>
    <row r="32">
      <c r="A32" t="inlineStr">
        <is>
          <t>Final number status (Assembly 4D — LOCKED)</t>
        </is>
      </c>
      <c r="B32" t="inlineStr">
        <is>
          <t>~$56,561 LOCKED. All Chase flagged items confirmed. All personal-bucket reclassifications applied. Paris trip fully in PERSONAL. Tesla stays out (std mileage). ATM stays out (owner draw). ⚠️ Minor further adjustments possible: Shopify Capital interest (additive, lowers profit); COGS method; Foremost = property ins. confirmed. 1099-NEC compliance flag: Venmo influencer payments ≥$600/yr threshold.</t>
        </is>
      </c>
    </row>
  </sheetData>
  <mergeCells count="12">
    <mergeCell ref="A23:D23"/>
    <mergeCell ref="A18:D18"/>
    <mergeCell ref="A27:D27"/>
    <mergeCell ref="A2:E2"/>
    <mergeCell ref="A22:D22"/>
    <mergeCell ref="A20:D20"/>
    <mergeCell ref="A21:D21"/>
    <mergeCell ref="A26:D26"/>
    <mergeCell ref="A1:E1"/>
    <mergeCell ref="A25:D25"/>
    <mergeCell ref="A24:D24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60" customWidth="1" min="5" max="5"/>
  </cols>
  <sheetData>
    <row r="1" ht="22" customHeight="1">
      <c r="A1" s="1" t="inlineStr">
        <is>
          <t>SPLT 2025 — 1099-K Reconciliation &amp; Nominee Received-Side</t>
        </is>
      </c>
    </row>
    <row r="2" ht="16" customHeight="1">
      <c r="A2" s="2" t="inlineStr">
        <is>
          <t>All 1099-K forms mapped; nominee mechanics cross-checked with SGM 2025 packet</t>
        </is>
      </c>
    </row>
    <row r="4" ht="22" customHeight="1">
      <c r="A4" s="3" t="inlineStr">
        <is>
          <t>Form / Channel</t>
        </is>
      </c>
      <c r="B4" s="4" t="inlineStr">
        <is>
          <t>1099-K Gross</t>
        </is>
      </c>
      <c r="C4" s="4" t="inlineStr">
        <is>
          <t>SPLT Receives</t>
        </is>
      </c>
      <c r="D4" s="4" t="inlineStr">
        <is>
          <t>SGM Nominee-Out</t>
        </is>
      </c>
      <c r="E4" s="4" t="inlineStr">
        <is>
          <t>Source / Note</t>
        </is>
      </c>
    </row>
    <row r="5" ht="48" customHeight="1">
      <c r="A5" s="11" t="inlineStr">
        <is>
          <t>Shopify Splitflask (SPLT TIN 33-3094308, acct pa_28592734488, CORRECTED form)</t>
        </is>
      </c>
      <c r="B5" s="14" t="n">
        <v>109063.96</v>
      </c>
      <c r="C5" s="14" t="n">
        <v>109063.96</v>
      </c>
      <c r="D5" s="11" t="inlineStr">
        <is>
          <t>n/a</t>
        </is>
      </c>
      <c r="E5" s="11" t="inlineStr">
        <is>
          <t>S057 locked. SPLT TIN on form — clean, no nominee needed. 2024 was Personal TIN; 2025 = SPLT (TIN changed at SPLT formation). CORRECTED form supersedes original.</t>
        </is>
      </c>
    </row>
    <row r="6" ht="48" customHeight="1">
      <c r="A6" s="11" t="inlineStr">
        <is>
          <t>Amazon US (nominee from SGM TIN 83-3077502 — NO SPLT-TIN 1099-K issued)</t>
        </is>
      </c>
      <c r="B6" s="14" t="n">
        <v>240009.89</v>
      </c>
      <c r="C6" s="14" t="n">
        <v>224789.09</v>
      </c>
      <c r="D6" s="14" t="n">
        <v>224789.09</v>
      </c>
      <c r="E6" s="11" t="inlineStr">
        <is>
          <t>NOMINEE RECEIVED. SGM reports full $240,010 IN → nominees $224,789 OUT → SPLT reports $224,789 IN. Agrees with SGM 2025 packet nominee-out $224,789.09 ✓ PASS. Belt-and-suspenders: request corrected 1099-K from Amazon under SPLT TIN.</t>
        </is>
      </c>
    </row>
    <row r="7" ht="48" customHeight="1">
      <c r="A7" s="15" t="inlineStr">
        <is>
          <t>TikTok 2025 (Jan–Jun, entity TIN unconfirmed)</t>
        </is>
      </c>
      <c r="B7" s="15" t="inlineStr">
        <is>
          <t>No 1099-K confirmed</t>
        </is>
      </c>
      <c r="C7" s="16" t="n">
        <v>25417.49</v>
      </c>
      <c r="D7" s="15" t="inlineStr">
        <is>
          <t>n/a</t>
        </is>
      </c>
      <c r="E7" s="15" t="inlineStr">
        <is>
          <t>TikTok wound down after Q2 2025. Platform gross from settlement files S341, S342. No IRS matching risk (below threshold / no 1099-K issued). Taxable regardless. Q1 $23,150.28 + Q2 $1,359.77 + add = $25,417.49.</t>
        </is>
      </c>
    </row>
    <row r="8" ht="48" customHeight="1">
      <c r="A8" s="6" t="inlineStr">
        <is>
          <t>Amazon CA 2025 (below 1099-K threshold)</t>
        </is>
      </c>
      <c r="B8" s="6" t="inlineStr">
        <is>
          <t>No 1099-K confirmed</t>
        </is>
      </c>
      <c r="C8" s="17" t="n">
        <v>6325.82</v>
      </c>
      <c r="D8" s="6" t="inlineStr">
        <is>
          <t>n/a</t>
        </is>
      </c>
      <c r="E8" s="6" t="inlineStr">
        <is>
          <t>⚠️ DOUBLE-COUNT RISK: May be inside Amazon nominee $224,789.09 (same account / same 1099-K period). Verify with TJ before adding separately. Currently included provisionally.</t>
        </is>
      </c>
    </row>
    <row r="9" ht="48" customHeight="1">
      <c r="A9" s="6" t="inlineStr">
        <is>
          <t>Amazon MX 2025 (below 1099-K threshold)</t>
        </is>
      </c>
      <c r="B9" s="6" t="inlineStr">
        <is>
          <t>No 1099-K confirmed</t>
        </is>
      </c>
      <c r="C9" s="17" t="n">
        <v>2695.74</v>
      </c>
      <c r="D9" s="6" t="inlineStr">
        <is>
          <t>n/a</t>
        </is>
      </c>
      <c r="E9" s="6" t="inlineStr">
        <is>
          <t>⚠️ Same double-count risk as Amazon CA. Verify before finalizing gross receipts.</t>
        </is>
      </c>
    </row>
    <row r="10" ht="48" customHeight="1">
      <c r="A10" s="6" t="inlineStr">
        <is>
          <t>BNPL Splitflask (Affirm/Klarna — if separate 1099-K issued)</t>
        </is>
      </c>
      <c r="B10" s="6" t="inlineStr">
        <is>
          <t>Separate BNPL 1099-K if Affirm ≥ $600</t>
        </is>
      </c>
      <c r="C10" s="17" t="n">
        <v>9062.790000000001</v>
      </c>
      <c r="D10" s="6" t="inlineStr">
        <is>
          <t>n/a</t>
        </is>
      </c>
      <c r="E10" s="6" t="inlineStr">
        <is>
          <t>⚠️ DOUBLE-COUNT RISK: If Affirm/BNPL ran through Shopify Payments, it's inside Shopify 1099-K $109,064. Verify: if confirmed inside Shopify, REMOVE $9,063 from gross receipts. If separate provider, check for separate 1099-K.</t>
        </is>
      </c>
    </row>
    <row r="11" ht="48" customHeight="1">
      <c r="A11" s="8" t="inlineStr">
        <is>
          <t>TOTAL 1099-K on SPLT TIN</t>
        </is>
      </c>
      <c r="B11" s="8" t="inlineStr">
        <is>
          <t>$109,063.96 (Shopify only)</t>
        </is>
      </c>
      <c r="C11" s="8" t="inlineStr">
        <is>
          <t>—</t>
        </is>
      </c>
      <c r="D11" s="8" t="inlineStr">
        <is>
          <t>—</t>
        </is>
      </c>
      <c r="E11" s="8" t="inlineStr">
        <is>
          <t>Only Shopify on SPLT TIN. Amazon on SGM TIN (nominee procedure resolves). TikTok / other channels: no 1099-K confirmed.</t>
        </is>
      </c>
    </row>
    <row r="12" ht="8" customHeight="1"/>
    <row r="13" ht="22" customHeight="1">
      <c r="A13" s="18" t="inlineStr">
        <is>
          <t>✅  CROSS-PACKET NOMINEE CHECK: SGM 2025 nominees OUT = $224,789.09  ←→  SPLT 2025 receives IN = $224,789.09  |  DIFFERENCE = $0.00  |  PASS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22" customWidth="1" min="4" max="4"/>
    <col width="60" customWidth="1" min="5" max="5"/>
  </cols>
  <sheetData>
    <row r="1" ht="22" customHeight="1">
      <c r="A1" s="1" t="inlineStr">
        <is>
          <t>SPLT 2025 — Revenue Build (Platform-Gross Basis for Tax)</t>
        </is>
      </c>
    </row>
    <row r="2" ht="16" customHeight="1">
      <c r="A2" s="2" t="inlineStr">
        <is>
          <t>All channels itemized; double-count risks flagged; Kickstarter excluded as deferred</t>
        </is>
      </c>
    </row>
    <row r="4" ht="22" customHeight="1">
      <c r="A4" s="3" t="inlineStr">
        <is>
          <t>Channel</t>
        </is>
      </c>
      <c r="B4" s="4" t="inlineStr">
        <is>
          <t>Amount ($)</t>
        </is>
      </c>
      <c r="C4" s="4" t="inlineStr">
        <is>
          <t>Basis</t>
        </is>
      </c>
      <c r="D4" s="4" t="inlineStr">
        <is>
          <t>Source</t>
        </is>
      </c>
      <c r="E4" s="4" t="inlineStr">
        <is>
          <t>Notes / Risks</t>
        </is>
      </c>
    </row>
    <row r="5" ht="42" customHeight="1">
      <c r="A5" s="11" t="inlineStr">
        <is>
          <t>Amazon US nominee (Feb 5–Dec 31, 2025)</t>
        </is>
      </c>
      <c r="B5" s="14" t="n">
        <v>224789.09</v>
      </c>
      <c r="C5" s="11" t="inlineStr">
        <is>
          <t>Platform gross, nominee received</t>
        </is>
      </c>
      <c r="D5" s="11" t="inlineStr">
        <is>
          <t>S339 Amazon order-date dashboard / SGM nominee-out</t>
        </is>
      </c>
      <c r="E5" s="11" t="inlineStr">
        <is>
          <t>Gross-of-fees, gross-of-returns. Fees $77,433 + returns $17,631 deducted separately. MUST agree with SGM nominee-out $224,789.09 ✓</t>
        </is>
      </c>
    </row>
    <row r="6" ht="42" customHeight="1">
      <c r="A6" s="11" t="inlineStr">
        <is>
          <t>Shopify Splitflask (1099-K floor, SPLT TIN)</t>
        </is>
      </c>
      <c r="B6" s="14" t="n">
        <v>109063.96</v>
      </c>
      <c r="C6" s="11" t="inlineStr">
        <is>
          <t>1099-K gross (Shopify Payments processed)</t>
        </is>
      </c>
      <c r="D6" s="11" t="inlineStr">
        <is>
          <t>S057 (CORRECTED form)</t>
        </is>
      </c>
      <c r="E6" s="11" t="inlineStr">
        <is>
          <t>2.9% fee ($3,163) deducted separately. 1099-K is Shopify-Payments volume. Note: Shopify Total Sales $165,177 (S340) is ABOVE this — tax basis = 1099-K floor only.</t>
        </is>
      </c>
    </row>
    <row r="7" ht="42" customHeight="1">
      <c r="A7" s="11" t="inlineStr">
        <is>
          <t>TikTok (platform gross, Q1+Q2 2025)</t>
        </is>
      </c>
      <c r="B7" s="14" t="n">
        <v>25417.49</v>
      </c>
      <c r="C7" s="11" t="inlineStr">
        <is>
          <t>Platform stated gross</t>
        </is>
      </c>
      <c r="D7" s="11" t="inlineStr">
        <is>
          <t>S341, S342</t>
        </is>
      </c>
      <c r="E7" s="11" t="inlineStr">
        <is>
          <t>Q1 $23,150.28 + Q2 $1,359.77 + supplement = $25,417.49. Bank payout only ~$3,465 (wound down; heavy seller discounts/fees). Platform gross is correct revenue basis. No 1099-K issued.</t>
        </is>
      </c>
    </row>
    <row r="8" ht="42" customHeight="1">
      <c r="A8" s="15" t="inlineStr">
        <is>
          <t>Global-E international (WF bank deposits)</t>
        </is>
      </c>
      <c r="B8" s="16" t="n">
        <v>25754.48</v>
      </c>
      <c r="C8" s="15" t="inlineStr">
        <is>
          <t>WF bank deposits (net of Global-E fees)</t>
        </is>
      </c>
      <c r="D8" s="15" t="inlineStr">
        <is>
          <t>SPLT_2025_Txns REV_GLOBAL_E</t>
        </is>
      </c>
      <c r="E8" s="15" t="inlineStr">
        <is>
          <t>International commerce platform; net after Global-E fees (settlement report unavailable to state full gross). Provisional — if settlement report available, gross up and add Global-E fee as deduction.</t>
        </is>
      </c>
    </row>
    <row r="9" ht="42" customHeight="1">
      <c r="A9" s="11" t="inlineStr">
        <is>
          <t>International distributor wires (WF bank)</t>
        </is>
      </c>
      <c r="B9" s="14" t="n">
        <v>7686.24</v>
      </c>
      <c r="C9" s="11" t="inlineStr">
        <is>
          <t>Wire deposits, WF bank</t>
        </is>
      </c>
      <c r="D9" s="11" t="inlineStr">
        <is>
          <t>SPLT_2025_Txns REV_INTL_WIRE</t>
        </is>
      </c>
      <c r="E9" s="11" t="inlineStr">
        <is>
          <t>Layer 1 locked: Kuwait $1,410 + Everything Kitchen AU $1,530 + Waen JP $1,742 + Citiesocial TW $3,004. Named B2B customers; wholesale/distributor channel.</t>
        </is>
      </c>
    </row>
    <row r="10" ht="42" customHeight="1">
      <c r="A10" s="6" t="inlineStr">
        <is>
          <t>BNPL (Affirm/Klarna) — REMOVED: inside Shopify 1099-K $109,064</t>
        </is>
      </c>
      <c r="B10" s="17" t="n">
        <v>0</v>
      </c>
      <c r="C10" s="6" t="inlineStr">
        <is>
          <t>REMOVED — double-count</t>
        </is>
      </c>
      <c r="D10" s="6" t="inlineStr">
        <is>
          <t>CB 2024 confirmed: Affirm/Klarna runs through Shopify Payments</t>
        </is>
      </c>
      <c r="E10" s="6" t="inlineStr">
        <is>
          <t>✅ RESOLVED: CB 2024 owner confirmation that Affirm/Klarna ran through Shopify Payments applies to Splitflask Shopify store (same platform). BNPL $9,062.79 is INSIDE Shopify 1099-K $109,064. Removing to prevent double-count. Zero contribution to gross.</t>
        </is>
      </c>
    </row>
    <row r="11" ht="42" customHeight="1">
      <c r="A11" s="6" t="inlineStr">
        <is>
          <t>Amazon CA (bank net, WF deposits)</t>
        </is>
      </c>
      <c r="B11" s="17" t="n">
        <v>6325.82</v>
      </c>
      <c r="C11" s="6" t="inlineStr">
        <is>
          <t>WF bank deposits</t>
        </is>
      </c>
      <c r="D11" s="6" t="inlineStr">
        <is>
          <t>SPLT_2025_Txns REV_AMAZON_CA</t>
        </is>
      </c>
      <c r="E11" s="6" t="inlineStr">
        <is>
          <t>Amazon CA deposits in SPLT WF bank ($0423). NOT inside nominee $224,789.09 (which is US marketplace only, order-date split Feb 5–Dec 31). Amazon CA = separate CA marketplace account. KEEP. ⚠️ TJ verify: if Amazon CA 1099-K is on SGM TIN for 2025, nominee treatment may also apply here (belt-and-suspenders correction; same mechanism as US account).</t>
        </is>
      </c>
    </row>
    <row r="12" ht="42" customHeight="1">
      <c r="A12" s="6" t="inlineStr">
        <is>
          <t>Amazon MX (bank net, WF deposits)</t>
        </is>
      </c>
      <c r="B12" s="17" t="n">
        <v>2695.74</v>
      </c>
      <c r="C12" s="6" t="inlineStr">
        <is>
          <t>WF bank deposits</t>
        </is>
      </c>
      <c r="D12" s="6" t="inlineStr">
        <is>
          <t>SPLT_2025_Txns REV_AMAZON_MX</t>
        </is>
      </c>
      <c r="E12" s="6" t="inlineStr">
        <is>
          <t>Amazon MX deposits in SPLT WF bank ($0423). NOT inside nominee $224,789.09 (US-only). Separate MX marketplace account. KEEP. ⚠️ Same TIN-verification note as Amazon CA.</t>
        </is>
      </c>
    </row>
    <row r="13" ht="42" customHeight="1">
      <c r="A13" s="8" t="inlineStr">
        <is>
          <t>Amazon other intl (Singapore/AU, WF bank)</t>
        </is>
      </c>
      <c r="B13" s="19" t="n">
        <v>85.89</v>
      </c>
      <c r="C13" s="8" t="inlineStr">
        <is>
          <t>WF bank</t>
        </is>
      </c>
      <c r="D13" s="8" t="inlineStr">
        <is>
          <t>SPLT_2025_Txns REV_AMAZON_INTL</t>
        </is>
      </c>
      <c r="E13" s="8" t="inlineStr">
        <is>
          <t>Small. Likely SG/AU per Layer 1. Verify not inside nominee computation.</t>
        </is>
      </c>
    </row>
    <row r="14" ht="42" customHeight="1">
      <c r="A14" s="8" t="inlineStr">
        <is>
          <t>Wholesale domestic (WF bank)</t>
        </is>
      </c>
      <c r="B14" s="19" t="n">
        <v>517.3200000000001</v>
      </c>
      <c r="C14" s="8" t="inlineStr">
        <is>
          <t>WF bank deposits</t>
        </is>
      </c>
      <c r="D14" s="8" t="inlineStr">
        <is>
          <t>SPLT_2025_Txns REV_WHOLESALE</t>
        </is>
      </c>
      <c r="E14" s="8" t="inlineStr">
        <is>
          <t>Small domestic B2B. No 1099-K expected (below threshold).</t>
        </is>
      </c>
    </row>
    <row r="15" ht="42" customHeight="1">
      <c r="A15" s="6" t="inlineStr">
        <is>
          <t>Kickstarter pre-orders (11 deposits, SPLT cash received 2025)</t>
        </is>
      </c>
      <c r="B15" s="6" t="n">
        <v>54386.08</v>
      </c>
      <c r="C15" s="6" t="inlineStr">
        <is>
          <t>CASH BASIS — INCOME (Fix 2)</t>
        </is>
      </c>
      <c r="D15" s="6" t="inlineStr">
        <is>
          <t>SPLT_2025_Txns DEFERRED_KICKSTARTER → reclassified to income</t>
        </is>
      </c>
      <c r="E15" s="6" t="inlineStr">
        <is>
          <t>Fix 2 — Owner decision: SPLT is a cash-basis C-corp. Cash received 2025 = taxable when received. 11 deposits totaling $54,386.08. Product fulfillment timing does not defer income under cash method for a C-corp. ⚠️ TJ confirm cash-basis treatment for C-corp; if accrual method required (C-corps may be required to use accrual if avg annual gross receipts &gt; $30M — not applicable here), revisit. Balance sheet: fulfillment obligation remains as liability. PRIOR note (deferred) RETIRED.</t>
        </is>
      </c>
    </row>
    <row r="16" ht="8" customHeight="1"/>
    <row r="17" ht="30" customHeight="1">
      <c r="A17" s="20" t="inlineStr">
        <is>
          <t>TOTAL GROSS RECEIPTS (Fix 2 + Fix 3 applied)</t>
        </is>
      </c>
      <c r="B17" s="21" t="n">
        <v>456722.11</v>
      </c>
      <c r="C17" s="20" t="inlineStr">
        <is>
          <t>—</t>
        </is>
      </c>
      <c r="D17" s="20" t="inlineStr">
        <is>
          <t>—</t>
        </is>
      </c>
      <c r="E17" s="20">
        <f> Prior $411,398.82 + Kickstarter $54,386.08 (Fix 2, now income) − BNPL $9,062.79 (Fix 3, removed double-count). Amazon CA $6,326 + MX $2,696 KEPT (separate marketplaces, not inside US nominee). Min gross if CA/MX also nominee-overlap: $447,699.</f>
        <v/>
      </c>
    </row>
    <row r="18" ht="8" customHeight="1"/>
    <row r="19" ht="20" customHeight="1">
      <c r="A19" s="22" t="inlineStr">
        <is>
          <t>REVENUE REDUCTION (not double-deducted — offsets gross receipts)</t>
        </is>
      </c>
    </row>
    <row r="20" ht="30" customHeight="1">
      <c r="A20" s="8" t="inlineStr">
        <is>
          <t>Amazon returns/refunds (S339 stated)</t>
        </is>
      </c>
      <c r="B20" s="19" t="n">
        <v>-17631.26</v>
      </c>
      <c r="C20" s="8" t="inlineStr">
        <is>
          <t>Stated (S339)</t>
        </is>
      </c>
      <c r="D20" s="8" t="inlineStr">
        <is>
          <t>Amazon unified transaction CSV</t>
        </is>
      </c>
      <c r="E20" s="8" t="inlineStr">
        <is>
          <t>Amazon 1099-K is gross-of-returns; source-verified from settlement rows. Reduces net revenue.</t>
        </is>
      </c>
    </row>
    <row r="21" ht="22" customHeight="1">
      <c r="A21" s="20" t="inlineStr">
        <is>
          <t>NET REVENUE (post-returns)</t>
        </is>
      </c>
      <c r="B21" s="21" t="n">
        <v>439090.85</v>
      </c>
      <c r="C21" s="20" t="inlineStr">
        <is>
          <t>—</t>
        </is>
      </c>
      <c r="D21" s="20" t="inlineStr">
        <is>
          <t>—</t>
        </is>
      </c>
      <c r="E21" s="20">
        <f> Gross $456,722.11 − Amazon returns $17,631.26</f>
        <v/>
      </c>
    </row>
  </sheetData>
  <mergeCells count="3">
    <mergeCell ref="A2:E2"/>
    <mergeCell ref="A1:E1"/>
    <mergeCell ref="A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60" customWidth="1" min="3" max="3"/>
  </cols>
  <sheetData>
    <row r="1" ht="22" customHeight="1">
      <c r="A1" s="1" t="inlineStr">
        <is>
          <t>SPLT 2025 — COGS &amp; Inventory (15,000 units imported)</t>
        </is>
      </c>
    </row>
    <row r="2" ht="16" customHeight="1">
      <c r="A2" s="2" t="inlineStr">
        <is>
          <t>TJ selects method (cash vs inventory/accrual) — must be consistent with SGM 2024</t>
        </is>
      </c>
    </row>
    <row r="4" ht="22" customHeight="1">
      <c r="A4" s="3" t="inlineStr">
        <is>
          <t>Item</t>
        </is>
      </c>
      <c r="B4" s="4" t="inlineStr">
        <is>
          <t>Amount / Value</t>
        </is>
      </c>
      <c r="C4" s="4" t="inlineStr">
        <is>
          <t>Note / Source</t>
        </is>
      </c>
    </row>
    <row r="5" ht="36" customHeight="1">
      <c r="A5" s="11" t="inlineStr">
        <is>
          <t>Supplier payments — Kangdao / Dongguan (all 2025 WF bank wires)</t>
        </is>
      </c>
      <c r="B5" s="14" t="n">
        <v>103463</v>
      </c>
      <c r="C5" s="11" t="inlineStr">
        <is>
          <t>SPLT_2025_Txns COGS_SUPPLIER. Bank-substantiated from footed WF …0423 statements, 12 months. All wire payments to Splitflask tumbler manufacturer.</t>
        </is>
      </c>
    </row>
    <row r="6" ht="36" customHeight="1">
      <c r="A6" s="8" t="inlineStr">
        <is>
          <t>Cost per unit (15,000 units purchased)</t>
        </is>
      </c>
      <c r="B6" s="19" t="n">
        <v>6.897</v>
      </c>
      <c r="C6" s="8" t="inlineStr">
        <is>
          <t>$103,463 ÷ 15,000 = $6.897/unit</t>
        </is>
      </c>
    </row>
    <row r="7" ht="36" customHeight="1">
      <c r="A7" s="15" t="inlineStr">
        <is>
          <t>Units sold (est. from GMV)</t>
        </is>
      </c>
      <c r="B7" s="15" t="inlineStr">
        <is>
          <t>~11,244 units</t>
        </is>
      </c>
      <c r="C7" s="15" t="inlineStr">
        <is>
          <t>Consistent with ~$514K GMV at ~$45.7 ASP. Verify against actual Shopify + Amazon unit-sales count.</t>
        </is>
      </c>
    </row>
    <row r="8" ht="36" customHeight="1">
      <c r="A8" s="15" t="inlineStr">
        <is>
          <t>Ending inventory (unsold units)</t>
        </is>
      </c>
      <c r="B8" s="15" t="inlineStr">
        <is>
          <t>~3,756 units</t>
        </is>
      </c>
      <c r="C8" s="15" t="inlineStr">
        <is>
          <t>15,000 purchased − 11,244 sold = 3,756. Under inventory method: $25,879 ending inventory asset on balance sheet.</t>
        </is>
      </c>
    </row>
    <row r="9" ht="36" customHeight="1">
      <c r="A9" s="8" t="inlineStr">
        <is>
          <t>COGS — CASH METHOD (deduct all paid in 2025)</t>
        </is>
      </c>
      <c r="B9" s="19" t="n">
        <v>103463</v>
      </c>
      <c r="C9" s="8" t="inlineStr">
        <is>
          <t>Deduct full supplier payment amount in the tax year paid. Simpler. TJ: confirm method choice.</t>
        </is>
      </c>
    </row>
    <row r="10" ht="36" customHeight="1">
      <c r="A10" s="8" t="inlineStr">
        <is>
          <t>COGS — INVENTORY / ACCRUAL METHOD (deduct cost of units sold)</t>
        </is>
      </c>
      <c r="B10" s="19" t="n">
        <v>77584</v>
      </c>
      <c r="C10" s="8" t="inlineStr">
        <is>
          <t>11,244 units × $6.897 = $77,584. Remaining $25,879 = ending inventory asset (balance sheet). Must use throughout.</t>
        </is>
      </c>
    </row>
    <row r="11" ht="36" customHeight="1">
      <c r="A11" s="6" t="inlineStr">
        <is>
          <t>⚠️ TJ DECISION — Cash vs Inventory method</t>
        </is>
      </c>
      <c r="B11" s="6" t="inlineStr">
        <is>
          <t>TJ selects</t>
        </is>
      </c>
      <c r="C11" s="6" t="inlineStr">
        <is>
          <t>Must be consistent with SGM 2024 COGS method. If inventory method: $103,463 splits into COGS $77,584 (P&amp;L) and inventory asset $25,879 (balance sheet). If cash: full $103,463 on P&amp;L.</t>
        </is>
      </c>
    </row>
    <row r="12" ht="36" customHeight="1">
      <c r="A12" s="6" t="inlineStr">
        <is>
          <t>Mold services — Chukwuezugo Nwosu wire 4/2/25</t>
        </is>
      </c>
      <c r="B12" s="6" t="inlineStr">
        <is>
          <t>EXCLUDED from COGS</t>
        </is>
      </c>
      <c r="C12" s="6" t="inlineStr">
        <is>
          <t>Related-party transaction. Pass-through / net-zero per CLAUDE.md. Not product COGS. Invoice + completion acknowledgment must be on file. Confirm arm's-length terms.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22" customWidth="1" min="4" max="4"/>
    <col width="60" customWidth="1" min="5" max="5"/>
  </cols>
  <sheetData>
    <row r="1" ht="22" customHeight="1">
      <c r="A1" s="1" t="inlineStr">
        <is>
          <t>SPLT 2025 — Deductions (Itemized, Substantiated) + Filed-vs-Bank Analysis</t>
        </is>
      </c>
    </row>
    <row r="2" ht="16" customHeight="1">
      <c r="A2" s="2" t="inlineStr">
        <is>
          <t>Three sections: A = Platform fees (not in WF bank)  |  B = WF bank  |  C = Chase ···3247 credit card</t>
        </is>
      </c>
    </row>
    <row r="3"/>
    <row r="4" ht="22" customHeight="1">
      <c r="A4" s="3" t="inlineStr">
        <is>
          <t>Category</t>
        </is>
      </c>
      <c r="B4" s="4" t="inlineStr">
        <is>
          <t>Amount ($)</t>
        </is>
      </c>
      <c r="C4" s="4" t="inlineStr">
        <is>
          <t>Status</t>
        </is>
      </c>
      <c r="D4" s="4" t="inlineStr">
        <is>
          <t>Source</t>
        </is>
      </c>
      <c r="E4" s="4" t="inlineStr">
        <is>
          <t>Notes</t>
        </is>
      </c>
    </row>
    <row r="5" ht="22" customHeight="1">
      <c r="A5" s="20" t="inlineStr">
        <is>
          <t>SECTION A — Platform Fees (not in WF bank — netted at source before disbursement)</t>
        </is>
      </c>
    </row>
    <row r="6" ht="36" customHeight="1">
      <c r="A6" s="11" t="inlineStr">
        <is>
          <t>Amazon referral fee (Feb 5–Dec 31, 2025)</t>
        </is>
      </c>
      <c r="B6" s="14" t="n">
        <v>28074.41</v>
      </c>
      <c r="C6" s="11" t="inlineStr">
        <is>
          <t>SUBSTANTIATED</t>
        </is>
      </c>
      <c r="D6" s="11" t="inlineStr">
        <is>
          <t>S339 Amazon settlement</t>
        </is>
      </c>
      <c r="E6" s="11" t="inlineStr">
        <is>
          <t>Stated from Amazon unified transaction CSV. Follows nominee income to SPLT.</t>
        </is>
      </c>
    </row>
    <row r="7" ht="36" customHeight="1">
      <c r="A7" s="11" t="inlineStr">
        <is>
          <t>Amazon FBA fulfillment fee (Feb 5–Dec 31)</t>
        </is>
      </c>
      <c r="B7" s="14" t="n">
        <v>19746.32</v>
      </c>
      <c r="C7" s="11" t="inlineStr">
        <is>
          <t>SUBSTANTIATED</t>
        </is>
      </c>
      <c r="D7" s="11" t="inlineStr">
        <is>
          <t>S339</t>
        </is>
      </c>
      <c r="E7" s="11" t="inlineStr">
        <is>
          <t>Stated. Fulfillment/pick-pack-ship fee on SPLT-period orders.</t>
        </is>
      </c>
    </row>
    <row r="8" ht="36" customHeight="1">
      <c r="A8" s="11" t="inlineStr">
        <is>
          <t>Amazon advertising (Cost of Advertising, Feb 5–Dec 31)</t>
        </is>
      </c>
      <c r="B8" s="14" t="n">
        <v>24726.56</v>
      </c>
      <c r="C8" s="11" t="inlineStr">
        <is>
          <t>SUBSTANTIATED</t>
        </is>
      </c>
      <c r="D8" s="11" t="inlineStr">
        <is>
          <t>S339</t>
        </is>
      </c>
      <c r="E8" s="11" t="inlineStr">
        <is>
          <t>Platform-funded/seller-funded ad spend on Amazon. Distinct from Facebook/Google. Stated from settlement.</t>
        </is>
      </c>
    </row>
    <row r="9" ht="36" customHeight="1">
      <c r="A9" s="15" t="inlineStr">
        <is>
          <t>Amazon FBA storage/inventory fee (proportional, SPLT period)</t>
        </is>
      </c>
      <c r="B9" s="16" t="n">
        <v>3938.34</v>
      </c>
      <c r="C9" s="15" t="inlineStr">
        <is>
          <t>PROVISIONAL</t>
        </is>
      </c>
      <c r="D9" s="15" t="inlineStr">
        <is>
          <t>S339 (proportional allocation)</t>
        </is>
      </c>
      <c r="E9" s="15" t="inlineStr">
        <is>
          <t>Storage fees allocated to SPLT period (Feb 5–Dec 31). Provisional vs fully-stated. Upgrade to stated if Amazon report shows exact storage amount.</t>
        </is>
      </c>
    </row>
    <row r="10" ht="36" customHeight="1">
      <c r="A10" s="11" t="inlineStr">
        <is>
          <t>Amazon shipping labels (seller-purchased)</t>
        </is>
      </c>
      <c r="B10" s="14" t="n">
        <v>9719.190000000001</v>
      </c>
      <c r="C10" s="11" t="inlineStr">
        <is>
          <t>SUBSTANTIATED</t>
        </is>
      </c>
      <c r="D10" s="11" t="inlineStr">
        <is>
          <t>S339 (Shipping Services rows, SPLT period)</t>
        </is>
      </c>
      <c r="E10" s="11" t="inlineStr">
        <is>
          <t>Return labels + FBA prep shipping. NOT included in the $77,433 fee subtotal above — separate line. Stated from settlement.</t>
        </is>
      </c>
    </row>
    <row r="11" ht="36" customHeight="1">
      <c r="A11" s="15" t="inlineStr">
        <is>
          <t>Shopify Payments fee (2.9% × $109,064 1099-K)</t>
        </is>
      </c>
      <c r="B11" s="16" t="n">
        <v>3163</v>
      </c>
      <c r="C11" s="15" t="inlineStr">
        <is>
          <t>PROVISIONAL</t>
        </is>
      </c>
      <c r="D11" s="15" t="inlineStr">
        <is>
          <t>S340, S057 — 2.9% rate applied</t>
        </is>
      </c>
      <c r="E11" s="15" t="inlineStr">
        <is>
          <t>Stated rate applied to 1099-K floor. Verify against Shopify payout report for exact stated figure. Upgrade to SUBSTANTIATED if stated on payout.</t>
        </is>
      </c>
    </row>
    <row r="12" ht="36" customHeight="1">
      <c r="A12" s="11" t="inlineStr">
        <is>
          <t>TikTok platform costs (fees + shipping reimb)</t>
        </is>
      </c>
      <c r="B12" s="14" t="n">
        <v>9694.440000000001</v>
      </c>
      <c r="C12" s="11" t="inlineStr">
        <is>
          <t>SUBSTANTIATED</t>
        </is>
      </c>
      <c r="D12" s="11" t="inlineStr">
        <is>
          <t>S341, S342, S343</t>
        </is>
      </c>
      <c r="E12" s="11" t="inlineStr">
        <is>
          <t>Breakdown: referral $712 + affiliate/ads $1,976 + net shipping $7,497 + storage/other $416 − reimbursements $906. Stated from TikTok settlement files Q1+Q2+H2 storage.</t>
        </is>
      </c>
    </row>
    <row r="13" ht="22" customHeight="1">
      <c r="A13" s="22" t="inlineStr">
        <is>
          <t>SECTION A SUBTOTAL — Platform fees</t>
        </is>
      </c>
      <c r="B13" s="23" t="n">
        <v>100009.92</v>
      </c>
      <c r="C13" s="22" t="inlineStr">
        <is>
          <t>—</t>
        </is>
      </c>
      <c r="D13" s="22" t="inlineStr">
        <is>
          <t>—</t>
        </is>
      </c>
      <c r="E13" s="22" t="inlineStr">
        <is>
          <t>—</t>
        </is>
      </c>
    </row>
    <row r="14" ht="8" customHeight="1"/>
    <row r="15" ht="22" customHeight="1">
      <c r="A15" s="20" t="inlineStr">
        <is>
          <t>SECTION B — WF Bank Deductions (SPLT_2025_Txns, all 12 months footed, closing balance $9,850.39)</t>
        </is>
      </c>
    </row>
    <row r="16" ht="36" customHeight="1">
      <c r="A16" s="11" t="inlineStr">
        <is>
          <t>COGS — supplier payments (Kangdao / Dongguan)</t>
        </is>
      </c>
      <c r="B16" s="14" t="n">
        <v>103463</v>
      </c>
      <c r="C16" s="11" t="inlineStr">
        <is>
          <t>SUBSTANTIATED</t>
        </is>
      </c>
      <c r="D16" s="11" t="inlineStr">
        <is>
          <t>SPLT_2025_Txns COGS_SUPPLIER</t>
        </is>
      </c>
      <c r="E16" s="11" t="inlineStr">
        <is>
          <t>See Tab 4 for cash vs inventory method options. TJ confirms method.</t>
        </is>
      </c>
    </row>
    <row r="17" ht="36" customHeight="1">
      <c r="A17" s="11" t="inlineStr">
        <is>
          <t>Freight / logistics</t>
        </is>
      </c>
      <c r="B17" s="14" t="n">
        <v>18235</v>
      </c>
      <c r="C17" s="11" t="inlineStr">
        <is>
          <t>SUBSTANTIATED</t>
        </is>
      </c>
      <c r="D17" s="11" t="inlineStr">
        <is>
          <t>SPLT_2025_Txns FREIGHT</t>
        </is>
      </c>
      <c r="E17" s="11" t="inlineStr">
        <is>
          <t>Third-party logistics payments, bank-verified.</t>
        </is>
      </c>
    </row>
    <row r="18" ht="36" customHeight="1">
      <c r="A18" s="6" t="inlineStr">
        <is>
          <t>Rent — Augusta Rule</t>
        </is>
      </c>
      <c r="B18" s="17" t="n">
        <v>20500</v>
      </c>
      <c r="C18" s="6" t="inlineStr">
        <is>
          <t>⚠️ TJ CONFIRM</t>
        </is>
      </c>
      <c r="D18" s="6" t="inlineStr">
        <is>
          <t>SPLT_2025_Txns RENT</t>
        </is>
      </c>
      <c r="E18" s="6" t="inlineStr">
        <is>
          <t>Bank-substantiated. ⚠️ 14-day cap required; no home-office double-stack. TJ confirms days + FMR documentation.</t>
        </is>
      </c>
    </row>
    <row r="19" ht="36" customHeight="1">
      <c r="A19" s="11" t="inlineStr">
        <is>
          <t>Facebook ads — WF bank debit card ···2100 (IN bank)</t>
        </is>
      </c>
      <c r="B19" s="14" t="n">
        <v>22351.63</v>
      </c>
      <c r="C19" s="11" t="inlineStr">
        <is>
          <t>SUBSTANTIATED</t>
        </is>
      </c>
      <c r="D19" s="11" t="inlineStr">
        <is>
          <t>SPLT_2025_Txns ADS_FACEBOOK</t>
        </is>
      </c>
      <c r="E19" s="11" t="inlineStr">
        <is>
          <t>Debit card ···2100 charges IN WF bank statements. SEPARATE from Chase ···3247 credit card in Section C — no double-count. ⚠️ ASSEMBLY 4C FLAG: Bank total $22,351.63 vs Splitflask FB invoice ···2100 $21,216.81 = $1,134.82 delta. Per CLAUDE.md rule, bank is authoritative for debit cards. However, $1,134.82 is NOT on the Splitflask invoice and NOT on the CB invoice (CB invoice = ···3247 only). Owner: confirm which Meta ad account the extra $1,134.82 belongs to (2nd Meta account? period overlap?). If non-Splitflask: remove $1,134.82 → income +$69,990. Currently using bank figure pending ID.</t>
        </is>
      </c>
    </row>
    <row r="20" ht="36" customHeight="1">
      <c r="A20" s="11" t="inlineStr">
        <is>
          <t>Google ads</t>
        </is>
      </c>
      <c r="B20" s="14" t="n">
        <v>497.77</v>
      </c>
      <c r="C20" s="11" t="inlineStr">
        <is>
          <t>SUBSTANTIATED</t>
        </is>
      </c>
      <c r="D20" s="11" t="inlineStr">
        <is>
          <t>SPLT_2025_Txns ADS_GOOGLE</t>
        </is>
      </c>
      <c r="E20" s="11" t="inlineStr">
        <is>
          <t>Bank-verified.</t>
        </is>
      </c>
    </row>
    <row r="21" ht="36" customHeight="1">
      <c r="A21" s="11" t="inlineStr">
        <is>
          <t>Contractor / freelance</t>
        </is>
      </c>
      <c r="B21" s="14" t="n">
        <v>2035.47</v>
      </c>
      <c r="C21" s="11" t="inlineStr">
        <is>
          <t>SUBSTANTIATED</t>
        </is>
      </c>
      <c r="D21" s="11" t="inlineStr">
        <is>
          <t>SPLT_2025_Txns OPEX_CONTRACTOR</t>
        </is>
      </c>
      <c r="E21" s="11" t="inlineStr">
        <is>
          <t>Bank-verified.</t>
        </is>
      </c>
    </row>
    <row r="22" ht="36" customHeight="1">
      <c r="A22" s="11" t="inlineStr">
        <is>
          <t>Legal / patent</t>
        </is>
      </c>
      <c r="B22" s="14" t="n">
        <v>2538</v>
      </c>
      <c r="C22" s="11" t="inlineStr">
        <is>
          <t>SUBSTANTIATED</t>
        </is>
      </c>
      <c r="D22" s="11" t="inlineStr">
        <is>
          <t>SPLT_2025_Txns OPEX_LEGAL_PATENT</t>
        </is>
      </c>
      <c r="E22" s="11" t="inlineStr">
        <is>
          <t>Bank-verified.</t>
        </is>
      </c>
    </row>
    <row r="23" ht="36" customHeight="1">
      <c r="A23" s="11" t="inlineStr">
        <is>
          <t>Platform fees / subscriptions (bank-direct)</t>
        </is>
      </c>
      <c r="B23" s="14" t="n">
        <v>3591.37</v>
      </c>
      <c r="C23" s="11" t="inlineStr">
        <is>
          <t>SUBSTANTIATED</t>
        </is>
      </c>
      <c r="D23" s="11" t="inlineStr">
        <is>
          <t>SPLT_2025_Txns OPEX_PLATFORM_FEE</t>
        </is>
      </c>
      <c r="E23" s="11" t="inlineStr">
        <is>
          <t>Shopify subscription, other SaaS subscriptions. Distinct from Shopify Payments fee (Section A).</t>
        </is>
      </c>
    </row>
    <row r="24" ht="36" customHeight="1">
      <c r="A24" s="11" t="inlineStr">
        <is>
          <t>Shipping (non-freight, outbound)</t>
        </is>
      </c>
      <c r="B24" s="14" t="n">
        <v>364.06</v>
      </c>
      <c r="C24" s="11" t="inlineStr">
        <is>
          <t>SUBSTANTIATED</t>
        </is>
      </c>
      <c r="D24" s="11" t="inlineStr">
        <is>
          <t>SPLT_2025_Txns OPEX_SHIPPING</t>
        </is>
      </c>
      <c r="E24" s="11" t="inlineStr">
        <is>
          <t>Bank-verified.</t>
        </is>
      </c>
    </row>
    <row r="25" ht="36" customHeight="1">
      <c r="A25" s="11" t="inlineStr">
        <is>
          <t>Software</t>
        </is>
      </c>
      <c r="B25" s="14" t="n">
        <v>2002.15</v>
      </c>
      <c r="C25" s="11" t="inlineStr">
        <is>
          <t>SUBSTANTIATED</t>
        </is>
      </c>
      <c r="D25" s="11" t="inlineStr">
        <is>
          <t>SPLT_2025_Txns OPEX_SOFTWARE</t>
        </is>
      </c>
      <c r="E25" s="11" t="inlineStr">
        <is>
          <t>Bank-verified.</t>
        </is>
      </c>
    </row>
    <row r="26" ht="36" customHeight="1">
      <c r="A26" s="11" t="inlineStr">
        <is>
          <t>Supplies</t>
        </is>
      </c>
      <c r="B26" s="14" t="n">
        <v>2364.67</v>
      </c>
      <c r="C26" s="11" t="inlineStr">
        <is>
          <t>SUBSTANTIATED</t>
        </is>
      </c>
      <c r="D26" s="11" t="inlineStr">
        <is>
          <t>SPLT_2025_Txns OPEX_SUPPLIES</t>
        </is>
      </c>
      <c r="E26" s="11" t="inlineStr">
        <is>
          <t>Bank-verified.</t>
        </is>
      </c>
    </row>
    <row r="27" ht="36" customHeight="1">
      <c r="A27" s="11" t="inlineStr">
        <is>
          <t>Travel — business (Las Vegas tradeshow/meeting, Sep 2025)</t>
        </is>
      </c>
      <c r="B27" s="14" t="n">
        <v>75.70999999999999</v>
      </c>
      <c r="C27" s="11" t="inlineStr">
        <is>
          <t>SUBSTANTIATED</t>
        </is>
      </c>
      <c r="D27" s="11" t="inlineStr">
        <is>
          <t>SPLT_2025_Txns OPEX_TRAVEL (LV only: $50.96 hotel + $12.75 airport + $12.00 parking)</t>
        </is>
      </c>
      <c r="E27" s="11" t="inlineStr">
        <is>
          <t>Las Vegas business trip only ($75.71). Paris trip ($418.53: Hotel Villa Saxe $276.61 + Air France $75 + Uber $54.17 + LAX $12.75) REMOVED — owner confirmed Paris = personal. Paris retail ($611.70) was already in PERSONAL.</t>
        </is>
      </c>
    </row>
    <row r="28" ht="36" customHeight="1">
      <c r="A28" s="11" t="inlineStr">
        <is>
          <t>Other operating expenses</t>
        </is>
      </c>
      <c r="B28" s="14" t="n">
        <v>388.49</v>
      </c>
      <c r="C28" s="11" t="inlineStr">
        <is>
          <t>SUBSTANTIATED</t>
        </is>
      </c>
      <c r="D28" s="11" t="inlineStr">
        <is>
          <t>SPLT_2025_Txns OPEX_OTHER</t>
        </is>
      </c>
      <c r="E28" s="11" t="inlineStr">
        <is>
          <t>Miscellaneous bank-verified business expenses.</t>
        </is>
      </c>
    </row>
    <row r="29" ht="36" customHeight="1">
      <c r="A29" s="11" t="inlineStr">
        <is>
          <t>Bank fees (WF service charges)</t>
        </is>
      </c>
      <c r="B29" s="14" t="n">
        <v>498.78</v>
      </c>
      <c r="C29" s="11" t="inlineStr">
        <is>
          <t>SUBSTANTIATED</t>
        </is>
      </c>
      <c r="D29" s="11" t="inlineStr">
        <is>
          <t>SPLT_2025_Txns BANK_FEE</t>
        </is>
      </c>
      <c r="E29" s="11" t="inlineStr">
        <is>
          <t>Bank-verified.</t>
        </is>
      </c>
    </row>
    <row r="30" ht="36" customHeight="1">
      <c r="A30" s="11" t="inlineStr">
        <is>
          <t>Meals (50% haircut applied: $163.30 × 50%)</t>
        </is>
      </c>
      <c r="B30" s="14" t="n">
        <v>81.65000000000001</v>
      </c>
      <c r="C30" s="11" t="inlineStr">
        <is>
          <t>SUBSTANTIATED (50%)</t>
        </is>
      </c>
      <c r="D30" s="11" t="inlineStr">
        <is>
          <t>SPLT_2025_Txns MEALS</t>
        </is>
      </c>
      <c r="E30" s="11" t="inlineStr">
        <is>
          <t>Gross $163.30; deductible 50% = $81.65. Business purpose required.</t>
        </is>
      </c>
    </row>
    <row r="31" ht="36" customHeight="1">
      <c r="A31" s="11" t="inlineStr">
        <is>
          <t>State / franchise taxes paid</t>
        </is>
      </c>
      <c r="B31" s="14" t="n">
        <v>255</v>
      </c>
      <c r="C31" s="11" t="inlineStr">
        <is>
          <t>SUBSTANTIATED</t>
        </is>
      </c>
      <c r="D31" s="11" t="inlineStr">
        <is>
          <t>SPLT_2025_Txns TAX_PAYMENT</t>
        </is>
      </c>
      <c r="E31" s="11" t="inlineStr">
        <is>
          <t>Bank-verified state tax payments.</t>
        </is>
      </c>
    </row>
    <row r="32" ht="36" customHeight="1">
      <c r="A32" t="inlineStr">
        <is>
          <t>Social media advertising — Venmo micro-influencer payments (May–Jul 2025)</t>
        </is>
      </c>
      <c r="B32" t="n">
        <v>1011.65</v>
      </c>
      <c r="C32" t="inlineStr">
        <is>
          <t>SUBSTANTIATED</t>
        </is>
      </c>
      <c r="D32" t="inlineStr">
        <is>
          <t>SPLT_2025_Txns ADS_SOCIAL (19 payments, reclassified 4D)</t>
        </is>
      </c>
      <c r="E32" t="inlineStr">
        <is>
          <t>19 Venmo payments May–Jul 2025, $44–$65 each, total $1,011.65. Shark Tank airing period influencer seeding for Splitflask. Owner confirmed = advertising. ⚠️ TJ: 1099-NEC required if any individual received ≥$600/yr total; filed Sch C said "No" to 1099s — compliance item but does not affect deductibility.</t>
        </is>
      </c>
    </row>
    <row r="33" ht="22" customHeight="1">
      <c r="A33" t="inlineStr">
        <is>
          <t>Boardroom rental reimbursement Q1 2025 (C-corp governance meetings)</t>
        </is>
      </c>
      <c r="B33" t="n">
        <v>1000</v>
      </c>
      <c r="C33" t="inlineStr">
        <is>
          <t>SUBSTANTIATED</t>
        </is>
      </c>
      <c r="D33" t="inlineStr">
        <is>
          <t>SPLT_2025_Txns RENT — 4/30/25 transfer, bank memo: "Boardroom Rental Reimbursement Q125" (reclassified 4D)</t>
        </is>
      </c>
      <c r="E33" t="inlineStr">
        <is>
          <t>Owner transfer out $1,000 with explicit bank memo "Boardroom Rental Reimbursement Q125." Deductible rent for C-corp board/governance meetings. Keep meeting minutes on file. Source: S180 4/30/25.</t>
        </is>
      </c>
    </row>
    <row r="34" ht="8" customHeight="1">
      <c r="A34" t="inlineStr">
        <is>
          <t>Royceton corporate rental (Nov 2025)</t>
        </is>
      </c>
      <c r="B34" t="n">
        <v>1300</v>
      </c>
      <c r="C34" t="inlineStr">
        <is>
          <t>SUBSTANTIATED</t>
        </is>
      </c>
      <c r="D34" t="inlineStr">
        <is>
          <t>SPLT_2025_Txns RENT — 11/19/25 transfer "Business Checking Balance" (reclassified 4D)</t>
        </is>
      </c>
      <c r="E34" t="inlineStr">
        <is>
          <t>Transfer to Royceton $1,300, bank memo: "Business Checking Balance." Owner confirmed = SPLT warehouse/office rental, deductible. Source: S187 11/19/25.</t>
        </is>
      </c>
    </row>
    <row r="35" ht="42" customHeight="1">
      <c r="A35" t="inlineStr">
        <is>
          <t>Repairs &amp; maintenance — SPLT warehouse electrical (Frank, Sep 2025)</t>
        </is>
      </c>
      <c r="B35" t="n">
        <v>251.1</v>
      </c>
      <c r="C35" t="inlineStr">
        <is>
          <t>SUBSTANTIATED</t>
        </is>
      </c>
      <c r="D35" t="inlineStr">
        <is>
          <t>SPLT_2025_Txns OPEX_REPAIRS — 2 Zelle payments to Frank 9/17/25 ($185 + $66.10) (reclassified 4D)</t>
        </is>
      </c>
      <c r="E35" t="inlineStr">
        <is>
          <t>Zelle to Frank 9/17/25: $185.00 + $66.10 = $251.10. Owner confirmed = electrician, SPLT warehouse power fix. Repairs &amp; maintenance. Keep invoice on file. Source: S185.</t>
        </is>
      </c>
    </row>
    <row r="36" ht="8" customHeight="1">
      <c r="A36" s="6" t="inlineStr">
        <is>
          <t>Shopify Capital financing cost (interest portion)</t>
        </is>
      </c>
      <c r="B36" s="6" t="inlineStr">
        <is>
          <t>TJ ITEM</t>
        </is>
      </c>
      <c r="C36" s="6" t="inlineStr">
        <is>
          <t>⚠️ TJ EXTRACT</t>
        </is>
      </c>
      <c r="D36" s="6" t="inlineStr">
        <is>
          <t>SPLT_2025_Txns DEBT_SHOPIFY_CAPITAL $4,237.64 total</t>
        </is>
      </c>
      <c r="E36" s="6" t="inlineStr">
        <is>
          <t>Total repaid $4,237.64. Split: PRINCIPAL non-deductible; INTEREST/fee portion = deductible. TJ: pull Shopify Capital agreement to state deductible financing cost. Do NOT deduct the full $4,237.</t>
        </is>
      </c>
    </row>
    <row r="37" ht="22" customHeight="1">
      <c r="A37" s="22" t="inlineStr">
        <is>
          <t>SECTION B SUBTOTAL — WF bank (excl. Shopify Capital; Assembly 4D final)</t>
        </is>
      </c>
      <c r="B37" t="n">
        <v>182723.85</v>
      </c>
      <c r="C37" t="inlineStr">
        <is>
          <t>—</t>
        </is>
      </c>
      <c r="D37" t="inlineStr">
        <is>
          <t>—</t>
        </is>
      </c>
    </row>
    <row r="38" ht="36" customHeight="1"/>
    <row r="39" ht="36" customHeight="1">
      <c r="A39" s="7" t="inlineStr">
        <is>
          <t>NON-DEDUCTIBLE items excluded from Section B (in WF bank but removed): PERSONAL $52,999.90 (after 4D reclassifications: Venmo $1,011.65 + Boardroom $1,000 + Royceton $1,300 + Frank $251.10 reclassified OUT; Paris travel $418.53 reclassified IN from OPEX_TRAVEL) | DEBT_CHASE_PAYMENT $118,405.79 (balance sheet) | INTERCO_OUT_SGM $1,600.00 (balance sheet) | NON_REV_OWNER_LOAN $81,203.67 (not income) | NON_REV_REVERSAL $6.62. DEFERRED_KICKSTARTER $54,386.08 = INCOME (Fix 2). Tesla $6,159.15 stays PERSONAL (non-deductible, covered by standard mileage election). ATM cash $1,200 stays PERSONAL (owner draw, no receipt trail). Paris trip all items PERSONAL (retail $611.70 + hotel/flights $418.53 now reclassified here).</t>
        </is>
      </c>
    </row>
    <row r="40" ht="22" customHeight="1"/>
    <row r="41" ht="8" customHeight="1">
      <c r="A41" s="20" t="inlineStr">
        <is>
          <t>SECTION C — Chase ···3247 Credit Card (charges on Chase, not WF bank)</t>
        </is>
      </c>
    </row>
    <row r="42" ht="24" customHeight="1">
      <c r="A42" s="11" t="inlineStr">
        <is>
          <t>Facebook ads — Chase ···3247 (stated from Meta invoice, Jan–Mar 2025 heavy)</t>
        </is>
      </c>
      <c r="B42" s="14" t="n">
        <v>51294.89</v>
      </c>
      <c r="C42" s="11" t="inlineStr">
        <is>
          <t>SUBSTANTIATED</t>
        </is>
      </c>
      <c r="D42" s="11" t="inlineStr">
        <is>
          <t>Facebook-Ads-Splitflask-2025-invoice (Meta invoice, card-coded)</t>
        </is>
      </c>
      <c r="E42" s="11" t="inlineStr">
        <is>
          <t>Stated from Meta invoice. Card ···3247 = SPLT Chase card. Jan–Mar 2025 = Shark Tank airing period (heavy spend). SEPARATE from WF debit ···2100 (Section B) — no double-count. ⚠️ ASSEMBLY 4C FLAG: Bank total $22,351.63 vs Splitflask FB invoice ···2100 $21,216.81 = $1,134.82 delta. Per CLAUDE.md rule, bank is authoritative for debit cards. However, $1,134.82 is NOT on the Splitflask invoice and NOT on the CB invoice (CB invoice = ···3247 only). Owner: confirm which Meta ad account the extra $1,134.82 belongs to (2nd Meta account? period overlap?). If non-Splitflask: remove $1,134.82 → income +$69,990. Currently using bank figure pending ID.</t>
        </is>
      </c>
    </row>
    <row r="43" ht="8" customHeight="1">
      <c r="A43" t="inlineStr">
        <is>
          <t>Veeqo shipping/fulfillment labels (all 9 stmts, Feb–Dec 2025)</t>
        </is>
      </c>
      <c r="B43" t="n">
        <v>17592</v>
      </c>
      <c r="C43" t="inlineStr">
        <is>
          <t>SUBSTANTIATED</t>
        </is>
      </c>
      <c r="D43" t="inlineStr">
        <is>
          <t>Chase ···3247 stmts (9 stmts, all foot)</t>
        </is>
      </c>
      <c r="E43" t="inlineStr">
        <is>
          <t>Per-label shipping charges, hundreds of individual transactions. Shipping fulfillment is core COGS-adjacent cost. Stmts: Chase1–Chase10 (excl Chase7 dup). All statements foot to closing balance.</t>
        </is>
      </c>
    </row>
    <row r="44" ht="20" customHeight="1">
      <c r="A44" t="inlineStr">
        <is>
          <t>Shopify subscriptions + apps (9 stmts)</t>
        </is>
      </c>
      <c r="B44" t="n">
        <v>3844.68</v>
      </c>
      <c r="C44" t="inlineStr">
        <is>
          <t>SUBSTANTIATED</t>
        </is>
      </c>
      <c r="D44" t="inlineStr">
        <is>
          <t>Chase ···3247 stmts</t>
        </is>
      </c>
      <c r="E44" t="inlineStr">
        <is>
          <t>⚠️ TJ: verify Shopify Capital repayment split (principal non-deductible, interest deductible). Charges range $12.99–$1,134/month; some may include Shopify Capital payments. Substantiated from card statements; TJ extracts capital vs fee component.</t>
        </is>
      </c>
    </row>
    <row r="45" ht="42" customHeight="1">
      <c r="A45" t="inlineStr">
        <is>
          <t>Klaviyo email marketing SaaS (9 stmts)</t>
        </is>
      </c>
      <c r="B45" t="n">
        <v>4305</v>
      </c>
      <c r="C45" t="inlineStr">
        <is>
          <t>SUBSTANTIATED</t>
        </is>
      </c>
      <c r="D45" t="inlineStr">
        <is>
          <t>Chase ···3247 stmts</t>
        </is>
      </c>
      <c r="E45" t="inlineStr">
        <is>
          <t>Email marketing platform. Monthly subscription + usage charges. Nov/Dec had two charges ($385 + $640) = plan upgrade or overage mid-month. All deductible.</t>
        </is>
      </c>
    </row>
    <row r="46" ht="42" customHeight="1">
      <c r="A46" t="inlineStr">
        <is>
          <t>PatentYogi patent drafting services (Mar, May, Jul stmts)</t>
        </is>
      </c>
      <c r="B46" t="n">
        <v>3942</v>
      </c>
      <c r="C46" t="inlineStr">
        <is>
          <t>SUBSTANTIATED</t>
        </is>
      </c>
      <c r="D46" t="inlineStr">
        <is>
          <t>Chase ···3247 stmts (Chase2 $1,707 + Chase6 $362 + Chase4 $1,873)</t>
        </is>
      </c>
      <c r="E46" t="inlineStr">
        <is>
          <t>Patent drafting and prosecution services for Splitflask patent. Deductible as legal/professional fees for IP protection.</t>
        </is>
      </c>
    </row>
    <row r="47" ht="42" customHeight="1">
      <c r="A47" t="inlineStr">
        <is>
          <t>Campaign services: Ecom Filmworks + Crowdfunding Pros + Hugebackers</t>
        </is>
      </c>
      <c r="B47" t="n">
        <v>3993</v>
      </c>
      <c r="C47" t="inlineStr">
        <is>
          <t>SUBSTANTIATED</t>
        </is>
      </c>
      <c r="D47" t="inlineStr">
        <is>
          <t>Chase ···3247 stmts (Chase2, Chase6)</t>
        </is>
      </c>
      <c r="E47" t="inlineStr">
        <is>
          <t>Ecom Filmworks $2,000 (video production for Splitflask content). Crowdfunding Pros $1,932 (Kickstarter campaign management). Hugebackers $61 (crowdfunding platform/consulting). All direct Splitflask marketing.</t>
        </is>
      </c>
    </row>
    <row r="48" ht="42" customHeight="1">
      <c r="A48" t="inlineStr">
        <is>
          <t>Chase Sapphire Reserve business card interest (Aug/Sep + Sep/Oct + Oct/Nov)</t>
        </is>
      </c>
      <c r="B48" t="n">
        <v>1314</v>
      </c>
      <c r="C48" t="inlineStr">
        <is>
          <t>SUBSTANTIATED</t>
        </is>
      </c>
      <c r="D48" t="inlineStr">
        <is>
          <t>Chase stmts Chase1 $377.65 + Chase5 $464.99 + Chase3 $471.40</t>
        </is>
      </c>
      <c r="E48" t="inlineStr">
        <is>
          <t>Business card interest charged Aug/Sep, Sep/Oct, Oct/Nov statements. Paid in full Feb–Jul 2025 ($0 interest those months). Deductible under IRC §163 as business interest expense.</t>
        </is>
      </c>
    </row>
    <row r="49" ht="42" customHeight="1">
      <c r="A49" t="inlineStr">
        <is>
          <t>Chase Sapphire Reserve annual membership fee</t>
        </is>
      </c>
      <c r="B49" t="n">
        <v>550</v>
      </c>
      <c r="C49" t="inlineStr">
        <is>
          <t>SUBSTANTIATED</t>
        </is>
      </c>
      <c r="D49" t="inlineStr">
        <is>
          <t>Chase8 (Feb/Mar 2025 first statement, Fees $550)</t>
        </is>
      </c>
      <c r="E49" t="inlineStr">
        <is>
          <t>Annual credit card membership fee on SPLT business card. Deductible as ordinary business expense. Charged in first statement (card opened Feb 2025).</t>
        </is>
      </c>
    </row>
    <row r="50" ht="42" customHeight="1">
      <c r="A50" t="inlineStr">
        <is>
          <t>IONOS web hosting + domains (all 9 stmts)</t>
        </is>
      </c>
      <c r="B50" t="n">
        <v>876.5</v>
      </c>
      <c r="C50" t="inlineStr">
        <is>
          <t>SUBSTANTIATED</t>
        </is>
      </c>
      <c r="D50" t="inlineStr">
        <is>
          <t>Chase ···3247 stmts (multiple charges/month)</t>
        </is>
      </c>
      <c r="E50" t="inlineStr">
        <is>
          <t>IONOS web hosting and domain registration. Monthly recurring service. Chase1 includes PayPal IONOS $323 (likely annual domain renewal). All deductible.</t>
        </is>
      </c>
    </row>
    <row r="51" ht="42" customHeight="1">
      <c r="A51" t="inlineStr">
        <is>
          <t>Next Insurance — general liability (4 stmts: Aug–Dec)</t>
        </is>
      </c>
      <c r="B51" t="n">
        <v>411.67</v>
      </c>
      <c r="C51" t="inlineStr">
        <is>
          <t>SUBSTANTIATED</t>
        </is>
      </c>
      <c r="D51" t="inlineStr">
        <is>
          <t>Chase ···3247 stmts Chase1/3/5/9 (~$103/month)</t>
        </is>
      </c>
      <c r="E51" t="inlineStr">
        <is>
          <t>Next Insurance general liability policy for Splitflask. Monthly premium $102.67–$103. Product liability / general commercial coverage. Deductible business insurance.</t>
        </is>
      </c>
    </row>
    <row r="52">
      <c r="A52" t="inlineStr">
        <is>
          <t>Fiverr freelance services (Feb/Mar, Mar/Apr, Jun/Jul stmts)</t>
        </is>
      </c>
      <c r="B52" t="n">
        <v>713</v>
      </c>
      <c r="C52" t="inlineStr">
        <is>
          <t>SUBSTANTIATED</t>
        </is>
      </c>
      <c r="D52" t="inlineStr">
        <is>
          <t>Chase ···3247 stmts (Chase8 $449 + Chase2 $198 + Chase4 $66)</t>
        </is>
      </c>
      <c r="E52" t="inlineStr">
        <is>
          <t>Freelance contractors via Fiverr for creative/design/content work. Business purpose: Splitflask product photography, marketing assets.</t>
        </is>
      </c>
    </row>
    <row r="53">
      <c r="A53" t="inlineStr">
        <is>
          <t>Adv Specialty — promotional/brand materials (Aug/Sep, Sep/Oct)</t>
        </is>
      </c>
      <c r="B53" t="n">
        <v>596</v>
      </c>
      <c r="C53" t="inlineStr">
        <is>
          <t>SUBSTANTIATED</t>
        </is>
      </c>
      <c r="D53" t="inlineStr">
        <is>
          <t>Chase stmts Chase1 $298 + Chase5 $298</t>
        </is>
      </c>
      <c r="E53" t="inlineStr">
        <is>
          <t>Promotional merchandise/materials for Splitflask brand. $298 × 2 statements.</t>
        </is>
      </c>
    </row>
    <row r="54">
      <c r="A54" t="inlineStr">
        <is>
          <t>AI tools + SaaS: OpenAI, Claude.ai, QuickBooks, LinkedIn, Reddit/TikTok Ads, GoDaddy + misc</t>
        </is>
      </c>
      <c r="B54" t="n">
        <v>1723.77</v>
      </c>
      <c r="C54" t="inlineStr">
        <is>
          <t>SUBSTANTIATED</t>
        </is>
      </c>
      <c r="D54" t="inlineStr">
        <is>
          <t>Chase ···3247 stmts (itemized in each stmt)</t>
        </is>
      </c>
      <c r="E54" t="inlineStr">
        <is>
          <t>OpenAI ChatGPT $175.01 (AI tool for business). Claude.ai $100 (AI assistant). QuickBooks $50. LinkedIn $45 (professional marketing). Reddit Ads $209. TikTok Ads $120. GoDaddy $133 (domain). Google Workspace $23.76 (flag TJ: Cyberbrands account on SPLT card). DMVerify $14 (mailing list verification). US Patent USPTO $65 (filing fee). AMZ Amazon Payments + Sponsored $134.93. Alibaba $134 (supplies/COGS). Staples $9.60. Hugebackers already above. Total miscellaneous SaaS/tools/ads: $1,723.77.</t>
        </is>
      </c>
    </row>
    <row r="55">
      <c r="A55" t="inlineStr">
        <is>
          <t>CGL Los Angeles — legal/logistics services</t>
        </is>
      </c>
      <c r="B55" t="n">
        <v>3195</v>
      </c>
      <c r="C55" t="inlineStr">
        <is>
          <t>SUBSTANTIATED (owner confirmed)</t>
        </is>
      </c>
      <c r="D55" t="inlineStr">
        <is>
          <t>Chase ···3247 stmts Chase8 $2,775 + Chase2 $420 (4D: owner confirmed business)</t>
        </is>
      </c>
      <c r="E55" t="inlineStr">
        <is>
          <t>CGL Los Angeles. Owner confirmed = SPLT legal expenses (formation/contracts/IP). Two charges: Chase8 $2,775 + Chase2 $420 = $3,195. Deductible as legal/professional fees.</t>
        </is>
      </c>
    </row>
    <row r="56">
      <c r="A56" t="inlineStr">
        <is>
          <t>Foremost Insurance — property/warehouse insurance</t>
        </is>
      </c>
      <c r="B56" t="n">
        <v>1735</v>
      </c>
      <c r="C56" t="inlineStr">
        <is>
          <t>SUBSTANTIATED (owner confirmed)</t>
        </is>
      </c>
      <c r="D56" t="inlineStr">
        <is>
          <t>Chase ···3247 stmt Chase2 (4D: confirmed PROPERTY insurance, not vehicle)</t>
        </is>
      </c>
      <c r="E56" t="inlineStr">
        <is>
          <t>Foremost Insurance $1,735. RESOLVED: property/warehouse/premises insurance, NOT vehicle insurance. Standard mileage bar does NOT apply. Deductible as business insurance. Source: Chase2.</t>
        </is>
      </c>
    </row>
    <row r="57">
      <c r="A57" t="inlineStr">
        <is>
          <t>Paddle.net STOCKLMTS — software subscription</t>
        </is>
      </c>
      <c r="B57" t="n">
        <v>432</v>
      </c>
      <c r="C57" t="inlineStr">
        <is>
          <t>SUBSTANTIATED (owner confirmed)</t>
        </is>
      </c>
      <c r="D57" t="inlineStr">
        <is>
          <t>Chase ···3247 stmt Chase6 (4D: owner confirmed business software)</t>
        </is>
      </c>
      <c r="E57" t="inlineStr">
        <is>
          <t>Paddle.net STOCKLMTS $432. Owner confirmed = business software subscription. Deductible.</t>
        </is>
      </c>
    </row>
    <row r="58">
      <c r="A58" t="inlineStr">
        <is>
          <t>SW Airlines — business travel (Las Vegas, business purpose)</t>
        </is>
      </c>
      <c r="B58" t="n">
        <v>186</v>
      </c>
      <c r="C58" t="inlineStr">
        <is>
          <t>SUBSTANTIATED (owner confirmed)</t>
        </is>
      </c>
      <c r="D58" t="inlineStr">
        <is>
          <t>Chase ···3247 stmt Chase2 (4D: owner confirmed business travel)</t>
        </is>
      </c>
      <c r="E58" t="inlineStr">
        <is>
          <t>SW Airlines Las Vegas $186. Owner confirmed business trip (tradeshow/supplier/meeting). Deductible travel. Document business purpose.</t>
        </is>
      </c>
    </row>
    <row r="59">
      <c r="A59" t="inlineStr">
        <is>
          <t>Merchant D24939973 FL — misc business expense</t>
        </is>
      </c>
      <c r="B59" t="n">
        <v>57</v>
      </c>
      <c r="C59" t="inlineStr">
        <is>
          <t>SUBSTANTIATED (owner confirmed)</t>
        </is>
      </c>
      <c r="D59" t="inlineStr">
        <is>
          <t>Chase ···3247 stmt Chase4 (4D: owner confirmed business)</t>
        </is>
      </c>
      <c r="E59" t="inlineStr">
        <is>
          <t>Unknown FL merchant D24939973 $57. Owner confirmed = SPLT business expense. Deductible. Owner to identify vendor for records.</t>
        </is>
      </c>
    </row>
    <row r="60">
      <c r="A60" t="inlineStr">
        <is>
          <t>Safety First Driving — business safety training</t>
        </is>
      </c>
      <c r="B60" t="n">
        <v>475</v>
      </c>
      <c r="C60" t="inlineStr">
        <is>
          <t>SUBSTANTIATED (owner confirmed)</t>
        </is>
      </c>
      <c r="D60" t="inlineStr">
        <is>
          <t>Chase ···3247 stmt Chase6 (4D: owner confirmed business)</t>
        </is>
      </c>
      <c r="E60" t="inlineStr">
        <is>
          <t>Safety First Driving $475. Owner confirmed = SPLT business expense (safety training/certification). Deductible.</t>
        </is>
      </c>
    </row>
    <row r="61">
      <c r="A61" t="inlineStr">
        <is>
          <t>Facebook ads — Meta ···0566 MasterCard (SPLT expense)</t>
        </is>
      </c>
      <c r="B61" t="n">
        <v>3070</v>
      </c>
      <c r="C61" t="inlineStr">
        <is>
          <t>SUBSTANTIATED (owner confirmed)</t>
        </is>
      </c>
      <c r="D61" t="inlineStr">
        <is>
          <t>Meta FB invoice 2025, card ···0566 MasterCard (4D: owner confirmed SPLT expense)</t>
        </is>
      </c>
      <c r="E61" t="inlineStr">
        <is>
          <t>···0566 MasterCard $3,069.79 ≈ $3,070. Identified from Meta FB invoice 2025. Owner confirmed = SPLT advertising expense. Source: Facebook-Ads-Splitflask-2025-invoice card ···0566. ⚠️ TJ: confirm ···0566 card identity and ensure bank statement from that card is on file.</t>
        </is>
      </c>
    </row>
    <row r="62"/>
    <row r="63"/>
    <row r="64">
      <c r="A64" s="6" t="n"/>
      <c r="B64" s="6" t="n"/>
      <c r="C64" s="6" t="n"/>
      <c r="D64" s="6" t="n"/>
      <c r="E64" s="6" t="n"/>
    </row>
    <row r="65">
      <c r="A65" s="22" t="inlineStr">
        <is>
          <t>SECTION C SUBTOTAL — Chase ···3247 + ···0566 confirmed (Assembly 4D final)</t>
        </is>
      </c>
      <c r="B65" s="23" t="n">
        <v>99796.03999999999</v>
      </c>
      <c r="C65" s="22" t="inlineStr">
        <is>
          <t>—</t>
        </is>
      </c>
      <c r="D65" s="22" t="inlineStr">
        <is>
          <t>—</t>
        </is>
      </c>
      <c r="E65" s="22">
        <f> FB ads $51,294.89 + non-FB business $39,351.15. FB: Meta invoice card-coded (SUBSTANTIATED). Non-FB: 9 Chase stmts, all foot to closing balances. Prior "~$67K DROPPED" line RETIRED — now fully substantiated.</f>
        <v/>
      </c>
    </row>
    <row r="66"/>
    <row r="67">
      <c r="A67" s="3" t="inlineStr">
        <is>
          <t>TOTAL SUBSTANTIATED DEDUCTIONS (Assembly 4D — LOCKED FINAL)</t>
        </is>
      </c>
      <c r="B67" s="24" t="n">
        <v>382529.81</v>
      </c>
      <c r="C67" s="3" t="inlineStr">
        <is>
          <t>—</t>
        </is>
      </c>
      <c r="D67" s="3" t="inlineStr">
        <is>
          <t>—</t>
        </is>
      </c>
      <c r="E67" s="3">
        <f> Section A $100,010 + Section B $179,580 + Section C $90,646</f>
        <v/>
      </c>
    </row>
    <row r="68"/>
    <row r="69">
      <c r="A69" s="22" t="inlineStr">
        <is>
          <t>FILED-VS-BANK ANALYSIS</t>
        </is>
      </c>
    </row>
    <row r="70">
      <c r="A70" s="8" t="inlineStr">
        <is>
          <t>Filed gross receipts (estimated)</t>
        </is>
      </c>
      <c r="B70" s="8" t="inlineStr">
        <is>
          <t>$369,980.87</t>
        </is>
      </c>
      <c r="C70" s="8" t="inlineStr">
        <is>
          <t>All WF bank credits (bank-feed based)</t>
        </is>
      </c>
      <c r="D70" s="8" t="inlineStr">
        <is>
          <t>Estimated from 3-way match: credits $369,981 − debits $360,131 = closing balance $9,850.39</t>
        </is>
      </c>
      <c r="E70" s="8" t="inlineStr">
        <is>
          <t>ESTIMATE — TJ must confirm from actual filed 1120</t>
        </is>
      </c>
    </row>
    <row r="71">
      <c r="A71" s="6" t="inlineStr">
        <is>
          <t>Filed deductions (UNKNOWN)</t>
        </is>
      </c>
      <c r="B71" s="6" t="inlineStr">
        <is>
          <t>⚠️ TJ must provide</t>
        </is>
      </c>
      <c r="C71" s="6" t="inlineStr">
        <is>
          <t>Filed 1120 deduction schedule</t>
        </is>
      </c>
      <c r="D71" s="6" t="inlineStr">
        <is>
          <t>NOT in source docs this session</t>
        </is>
      </c>
      <c r="E71" s="6" t="inlineStr">
        <is>
          <t>⚠️ CRITICAL: unlike CB 2024 (QB P&amp;L available), no filed deduction detail available. If filed deducted bank debits incl. personal $56K + Chase payments $118K + interco $1.6K → over-deduction $176K (same CB-2024 pattern). TJ provides filed 1120 Part II/III deduction detail.</t>
        </is>
      </c>
    </row>
    <row r="72">
      <c r="A72" s="8" t="inlineStr">
        <is>
          <t>Filed net income (estimated)</t>
        </is>
      </c>
      <c r="B72" s="8" t="inlineStr">
        <is>
          <t>~$9,850 est.</t>
        </is>
      </c>
      <c r="C72" s="8" t="inlineStr">
        <is>
          <t>Three-way bank match</t>
        </is>
      </c>
      <c r="D72" s="8" t="inlineStr">
        <is>
          <t>Credits $369,981 − debits $360,131 = $9,850</t>
        </is>
      </c>
      <c r="E72" s="8" t="inlineStr">
        <is>
          <t>ESTIMATE only — equals closing bank balance. Real filed taxable income may differ significantly based on actual deductions claimed.</t>
        </is>
      </c>
    </row>
    <row r="73">
      <c r="A73" s="8" t="inlineStr">
        <is>
          <t>Amended gross receipts</t>
        </is>
      </c>
      <c r="B73" s="8" t="inlineStr">
        <is>
          <t>$456,722.11</t>
        </is>
      </c>
      <c r="C73" s="8" t="inlineStr">
        <is>
          <t>Platform-gross basis</t>
        </is>
      </c>
      <c r="D73" s="8" t="inlineStr">
        <is>
          <t>See Tab 3</t>
        </is>
      </c>
      <c r="E73" s="8" t="inlineStr">
        <is>
          <t>Increase from filed: Amazon nominee + TikTok gross + other channels. Fix 2: Kickstarter $54,386 now income (cash-basis C-corp). Fix 3: BNPL $9,063 removed (inside Shopify 1099-K). Amazon CA/MX kept.</t>
        </is>
      </c>
    </row>
    <row r="74">
      <c r="A74" s="8" t="inlineStr">
        <is>
          <t>Amended deductions</t>
        </is>
      </c>
      <c r="B74" s="8" t="inlineStr">
        <is>
          <t>$382,529.81</t>
        </is>
      </c>
      <c r="C74" s="8" t="inlineStr">
        <is>
          <t>Assembly 4D final — Section B +$3,144 + Section C +$9,150 = +$12,294 new deductions</t>
        </is>
      </c>
      <c r="D74" s="8" t="inlineStr">
        <is>
          <t>See above</t>
        </is>
      </c>
      <c r="E74" s="8" t="inlineStr">
        <is>
          <t>Fix 1: Chase non-FB $39,351 added (9 stmts, all foot). Adds: platform fees $100K + Chase FB $51K + Chase non-FB $39K. Removes: personal $56K + Chase payments $118K (balance sheet).</t>
        </is>
      </c>
    </row>
    <row r="75">
      <c r="A75" s="6" t="inlineStr">
        <is>
          <t>Amended net income (FINAL — Assembly 4D LOCKED)</t>
        </is>
      </c>
      <c r="B75" s="6" t="inlineStr">
        <is>
          <t>~$56,561</t>
        </is>
      </c>
      <c r="C75" s="6" t="n"/>
      <c r="D75" s="6" t="inlineStr">
        <is>
          <t>Amendment waterfall</t>
        </is>
      </c>
      <c r="E75" s="6" t="inlineStr">
        <is>
          <t>ASSEMBLY 4D LOCKED: $56,561 (~$11,878 @ 21% corp rate). Waterfall from Assembly 4C: $68,855 (base) → −$6,080 (6 Chase flagged items confirmed business) → −$3,070 (···0566 confirmed SPLT) → −$3,144 (personal-bucket reclassifications: Venmo $1,012 + Boardroom $1,000 + Royceton $1,300 + Frank $251; net of Paris travel $419 removed). = $56,561. Corp tax: ~$11,878 @ 21%. Still COMPLIANCE-DRIVEN. ⚠️ TJ items: Shopify Capital interest (additive, lowers profit further); COGS method; Augusta 14-day cap; $148K loan-vs-capital. ⚠️ 1099-NEC: Venmo influencer payments (19 × $44–$65 = $1,012) — confirm no individual ≥$600/yr.</t>
        </is>
      </c>
    </row>
    <row r="76">
      <c r="A76" s="6" t="inlineStr">
        <is>
          <t>⚠️ Non-deductibles in WF debits (if filed on bank-feed)</t>
        </is>
      </c>
      <c r="B76" s="6" t="inlineStr">
        <is>
          <t>$56,144 personal + $118,406 Chase payments + $1,600 interco</t>
        </is>
      </c>
      <c r="C76" s="6" t="inlineStr">
        <is>
          <t>If filed deducted these</t>
        </is>
      </c>
      <c r="D76" s="6" t="inlineStr">
        <is>
          <t>WF bank classification</t>
        </is>
      </c>
      <c r="E76" s="6" t="inlineStr">
        <is>
          <t>If filed return used all bank debits as deductions → over-deduction ~$176K. Amendment corrects by removing these AND adding legitimate platform fees + Chase FB ads. Net effect depends on actual filed numbers — TJ confirms.</t>
        </is>
      </c>
    </row>
  </sheetData>
  <mergeCells count="4">
    <mergeCell ref="A2:E2"/>
    <mergeCell ref="A15:E15"/>
    <mergeCell ref="A5:E5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60" customWidth="1" min="4" max="4"/>
  </cols>
  <sheetData>
    <row r="1" ht="22" customHeight="1">
      <c r="A1" s="1" t="inlineStr">
        <is>
          <t>SPLT 2025 — Nominee Received-Side &amp; Intercompany</t>
        </is>
      </c>
    </row>
    <row r="2" ht="16" customHeight="1">
      <c r="A2" s="2" t="inlineStr">
        <is>
          <t>Nominee cross-checked with SGM 2025 packet; all 2025 interco flows documented</t>
        </is>
      </c>
    </row>
    <row r="3"/>
    <row r="4" ht="22" customHeight="1">
      <c r="A4" s="20" t="inlineStr">
        <is>
          <t>NOMINEE RECEIVED-SIDE (mirrors SGM 2025 nominee-out)</t>
        </is>
      </c>
    </row>
    <row r="5" ht="22" customHeight="1">
      <c r="A5" s="22" t="inlineStr">
        <is>
          <t>Nominee Flow</t>
        </is>
      </c>
      <c r="B5" s="25" t="inlineStr">
        <is>
          <t>Amount ($)</t>
        </is>
      </c>
      <c r="C5" s="25" t="inlineStr">
        <is>
          <t>Return Line</t>
        </is>
      </c>
      <c r="D5" s="25" t="inlineStr">
        <is>
          <t>Action / Note</t>
        </is>
      </c>
    </row>
    <row r="6" ht="42" customHeight="1">
      <c r="A6" s="11" t="inlineStr">
        <is>
          <t>Amazon income nominee — SGM→SPLT (received-side)</t>
        </is>
      </c>
      <c r="B6" s="14" t="n">
        <v>224789.09</v>
      </c>
      <c r="C6" s="11" t="inlineStr">
        <is>
          <t>SPLT 1120 Line 1 (gross income)</t>
        </is>
      </c>
      <c r="D6" s="11" t="inlineStr">
        <is>
          <t>SPLT reports $224,789.09 as its own Amazon revenue. NO 1099-K under SPLT TIN for Amazon (TIN lag). Paper trail: SGM files nominee Form 1099 to SPLT for $224,789.09; SPLT reports as gross income.</t>
        </is>
      </c>
    </row>
    <row r="7" ht="42" customHeight="1">
      <c r="A7" s="11" t="inlineStr">
        <is>
          <t>Cross-packet check: SGM 2025 nominees OUT</t>
        </is>
      </c>
      <c r="B7" s="14" t="n">
        <v>-224789.09</v>
      </c>
      <c r="C7" s="11" t="inlineStr">
        <is>
          <t>SGM 1120-S Other Deductions</t>
        </is>
      </c>
      <c r="D7" s="11" t="inlineStr">
        <is>
          <t>SGM 2025 packet nominees-out = $224,789.09. SPLT 2025 nominee-in = $224,789.09. Difference = $0.00. ✅ AGREES TO THE PENNY. PASS.</t>
        </is>
      </c>
    </row>
    <row r="8" ht="42" customHeight="1">
      <c r="A8" s="11" t="inlineStr">
        <is>
          <t>Amazon fees follow income to SPLT (referral + FBA + ads + storage)</t>
        </is>
      </c>
      <c r="B8" s="14" t="n">
        <v>-76485.62999999999</v>
      </c>
      <c r="C8" s="11" t="inlineStr">
        <is>
          <t>SPLT 1120 deductions</t>
        </is>
      </c>
      <c r="D8" s="11" t="inlineStr">
        <is>
          <t>Fees on the nominee portion are deducted by SPLT, not SGM. SGM deducts only its Jan 1–Feb 4 slice ($7,071). Total SPLT Amazon fees $76,485.63 (stated, S339). Coherence check confirmed (26.7% blended, not inflated).</t>
        </is>
      </c>
    </row>
    <row r="9" ht="42" customHeight="1">
      <c r="A9" s="11" t="inlineStr">
        <is>
          <t>Amazon shipping labels (nominee period, seller-purchased)</t>
        </is>
      </c>
      <c r="B9" s="14" t="n">
        <v>-9719.190000000001</v>
      </c>
      <c r="C9" s="11" t="inlineStr">
        <is>
          <t>SPLT 1120 deductions</t>
        </is>
      </c>
      <c r="D9" s="11" t="inlineStr">
        <is>
          <t>Follows income to SPLT. Stated from S339 Shipping Services rows.</t>
        </is>
      </c>
    </row>
    <row r="10" ht="42" customHeight="1">
      <c r="A10" s="11" t="inlineStr">
        <is>
          <t>Amazon returns/refunds (nominee period)</t>
        </is>
      </c>
      <c r="B10" s="14" t="n">
        <v>-17631.26</v>
      </c>
      <c r="C10" s="11" t="inlineStr">
        <is>
          <t>Revenue reduction</t>
        </is>
      </c>
      <c r="D10" s="11" t="inlineStr">
        <is>
          <t>Amazon gross-of-returns. Returns reduce net revenue. Deducted on SPLT's return as revenue offset.</t>
        </is>
      </c>
    </row>
    <row r="11" ht="42" customHeight="1">
      <c r="A11" s="15" t="inlineStr">
        <is>
          <t>Belt-and-suspenders: request corrected Amazon 1099-K</t>
        </is>
      </c>
      <c r="B11" s="15" t="inlineStr">
        <is>
          <t>N/A</t>
        </is>
      </c>
      <c r="C11" s="15" t="inlineStr">
        <is>
          <t>Administrative</t>
        </is>
      </c>
      <c r="D11" s="15" t="inlineStr">
        <is>
          <t>Request corrected 1099-K from Amazon under SPLT TIN (EIN 33-3094308). Does not change nominee treatment but closes paper trail and reduces future inquiry risk.</t>
        </is>
      </c>
    </row>
    <row r="12" ht="8" customHeight="1"/>
    <row r="13" ht="22" customHeight="1">
      <c r="A13" s="20" t="inlineStr">
        <is>
          <t>INTERCOMPANY FLOWS 2025 (all entities — SPLT perspective)</t>
        </is>
      </c>
    </row>
    <row r="14" ht="22" customHeight="1">
      <c r="A14" s="22" t="inlineStr">
        <is>
          <t>Flow</t>
        </is>
      </c>
      <c r="B14" s="25" t="inlineStr">
        <is>
          <t>Direction / Amount</t>
        </is>
      </c>
      <c r="C14" s="25" t="inlineStr">
        <is>
          <t>Treatment</t>
        </is>
      </c>
      <c r="D14" s="25" t="inlineStr">
        <is>
          <t>Note / Status</t>
        </is>
      </c>
    </row>
    <row r="15" ht="48" customHeight="1">
      <c r="A15" s="11" t="inlineStr">
        <is>
          <t>Amazon nominee income</t>
        </is>
      </c>
      <c r="B15" s="11" t="inlineStr">
        <is>
          <t>SGM→SPLT (reporting only) $224,789.09</t>
        </is>
      </c>
      <c r="C15" s="11" t="inlineStr">
        <is>
          <t>REPORTING REASSIGNMENT ONLY — no cash transfer</t>
        </is>
      </c>
      <c r="D15" s="11" t="inlineStr">
        <is>
          <t>Verified in Layer 10: not in SPLT_2025_Txns as a cash credit. No bank entry for the nominee itself. The $224,281.65 in SPLT bank = actual Amazon disbursements (confirms nominee amount, ~$507 timing diff). PASS.</t>
        </is>
      </c>
    </row>
    <row r="16" ht="48" customHeight="1">
      <c r="A16" s="11" t="inlineStr">
        <is>
          <t>SPLT→SGM operating transfer</t>
        </is>
      </c>
      <c r="B16" s="11" t="inlineStr">
        <is>
          <t>SPLT pays SGM $1,600 ($1,300 Jul 9 + $300 Nov 10)</t>
        </is>
      </c>
      <c r="C16" s="11" t="inlineStr">
        <is>
          <t>BALANCE SHEET ONLY — interco payable SPLT / receivable SGM. No P&amp;L.</t>
        </is>
      </c>
      <c r="D16" s="11" t="inlineStr">
        <is>
          <t>Layer 10 mirror-matched. Both legs confirmed. PASS.</t>
        </is>
      </c>
    </row>
    <row r="17" ht="48" customHeight="1">
      <c r="A17" s="6" t="inlineStr">
        <is>
          <t>SGM→SPLT operating transfer</t>
        </is>
      </c>
      <c r="B17" s="6" t="inlineStr">
        <is>
          <t>SGM pays SPLT $148,164</t>
        </is>
      </c>
      <c r="C17" s="6" t="inlineStr">
        <is>
          <t>⚠️ TJ DECISION: LOAN or CAPITAL? Balance sheet either way — NOT P&amp;L.</t>
        </is>
      </c>
      <c r="D17" s="6" t="inlineStr">
        <is>
          <t>SGM moved $148K operating cash to SPLT as business shifted entities mid-2025. LOAN = interco receivable (SGM) / payable (SPLT). CAPITAL = equity injection → affects equity + possible distribution implications for SGM. $148K is material — different balance-sheet presentation for both entities. Frame to TJ explicitly.</t>
        </is>
      </c>
    </row>
    <row r="18" ht="48" customHeight="1">
      <c r="A18" s="11" t="inlineStr">
        <is>
          <t>SPLT→CB via Chase ···3247 (NEW — Assembly 4C finding)</t>
        </is>
      </c>
      <c r="B18" s="11" t="inlineStr">
        <is>
          <t>SPLT paid CB FB ads $17,818.73 via ···3247</t>
        </is>
      </c>
      <c r="C18" s="11" t="inlineStr">
        <is>
          <t>⚠️ INTERCO RECEIVABLE — balance sheet, NOT P&amp;L on SPLT</t>
        </is>
      </c>
      <c r="D18" s="11" t="inlineStr">
        <is>
          <t>CB 2025 FB invoice (Meta ad account for Cyberbrands) shows ALL $17,818.73 charged to ···3247 (SPLT Chase card). CB paid ZERO of its own FB ads from CB bank. SPLT advanced the payment. Treatment: SPLT records interco receivable $17,818.73 (CB owes SPLT); CB records payable $17,818.73 + FB ad DEDUCTION $17,818.73. Zero P&amp;L impact on SPLT. FEEDS CB 2025 PACKET. Layer 10 SPLT↔CB=$0 was correct for WF bank flows only — Chase card flows were not in scope then.</t>
        </is>
      </c>
    </row>
    <row r="19">
      <c r="A19" t="inlineStr">
        <is>
          <t>⚠️ CB 2025 action: deduct $17,818.73 FB ads (paid by SPLT on CB behalf)</t>
        </is>
      </c>
      <c r="B19" t="inlineStr">
        <is>
          <t>$17,818.73</t>
        </is>
      </c>
      <c r="C19" t="inlineStr">
        <is>
          <t>CB 2025 DEDUCTION — in CB 2025 packet</t>
        </is>
      </c>
      <c r="D19" t="inlineStr">
        <is>
          <t>Layer 10 was bank-only; Chase card flows discovered in Assembly 4C. CB 2025 packet must add $17,818.73 FB ads from SPLT Chase interco as CB deduction. Cross-check: SPLT receivable $17,818.73 = CB payable $17,818.73.</t>
        </is>
      </c>
    </row>
  </sheetData>
  <mergeCells count="4">
    <mergeCell ref="A2:E2"/>
    <mergeCell ref="A1:E1"/>
    <mergeCell ref="A4:D4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38" customWidth="1" min="4" max="4"/>
    <col width="55" customWidth="1" min="5" max="5"/>
  </cols>
  <sheetData>
    <row r="1" ht="22" customHeight="1">
      <c r="A1" s="1" t="inlineStr">
        <is>
          <t>SPLT 2025 — Source Index (V12 Provenance Gate)</t>
        </is>
      </c>
    </row>
    <row r="2" ht="16" customHeight="1">
      <c r="A2" s="2" t="inlineStr">
        <is>
          <t>Every figure must trace to (a) footed bank statement, (b) platform document, or (c) 1099-K form. BLOCKED = cannot enter V12.</t>
        </is>
      </c>
    </row>
    <row r="4" ht="22" customHeight="1">
      <c r="A4" s="3" t="inlineStr">
        <is>
          <t>Source ID</t>
        </is>
      </c>
      <c r="B4" s="4" t="inlineStr">
        <is>
          <t>Figure</t>
        </is>
      </c>
      <c r="C4" s="4" t="inlineStr">
        <is>
          <t>Amount ($)</t>
        </is>
      </c>
      <c r="D4" s="4" t="inlineStr">
        <is>
          <t>Source Document</t>
        </is>
      </c>
      <c r="E4" s="4" t="inlineStr">
        <is>
          <t>Location / Gate Status</t>
        </is>
      </c>
    </row>
    <row r="5" ht="42" customHeight="1">
      <c r="A5" s="10" t="inlineStr">
        <is>
          <t>SRC-SP25-01</t>
        </is>
      </c>
      <c r="B5" s="11" t="inlineStr">
        <is>
          <t>Amazon 1099-K gross (SGM TIN, nominee basis)</t>
        </is>
      </c>
      <c r="C5" s="14" t="n">
        <v>240009.89</v>
      </c>
      <c r="D5" s="11" t="inlineStr">
        <is>
          <t>Amazon 1099-K EIN 83-3077502</t>
        </is>
      </c>
      <c r="E5" s="11" t="inlineStr">
        <is>
          <t>[CLEAN] Layer 0 LOCKED (penny-matched). Form-sourced. No variance.</t>
        </is>
      </c>
    </row>
    <row r="6" ht="42" customHeight="1">
      <c r="A6" s="10" t="inlineStr">
        <is>
          <t>SRC-SP25-02</t>
        </is>
      </c>
      <c r="B6" s="11" t="inlineStr">
        <is>
          <t>Amazon nominee to SPLT (Feb 5–Dec 31)</t>
        </is>
      </c>
      <c r="C6" s="14" t="n">
        <v>224789.09</v>
      </c>
      <c r="D6" s="11" t="inlineStr">
        <is>
          <t>Amazon order-date dashboard; derived: $240,010 − $15,220.80 (SGM keeps Jan 1–Feb 4)</t>
        </is>
      </c>
      <c r="E6" s="11" t="inlineStr">
        <is>
          <t>[CLEAN] Layer 7 LOCKED. SPLT bank confirms $224,281.65 landed (~$507 timing diff). Platform-sourced. CLEAN.</t>
        </is>
      </c>
    </row>
    <row r="7" ht="42" customHeight="1">
      <c r="A7" s="10" t="inlineStr">
        <is>
          <t>SRC-SP25-03</t>
        </is>
      </c>
      <c r="B7" s="11" t="inlineStr">
        <is>
          <t>Shopify 1099-K (SPLT TIN 33-3094308)</t>
        </is>
      </c>
      <c r="C7" s="14" t="n">
        <v>109063.96</v>
      </c>
      <c r="D7" s="11" t="inlineStr">
        <is>
          <t>Splitflask-2025-Shopify-1099K.pdf CORRECTED, acct pa_28592734488</t>
        </is>
      </c>
      <c r="E7" s="11" t="inlineStr">
        <is>
          <t>[CLEAN] Layer 0 LOCKED. CORRECTED form (supersedes original). Form-sourced. CLEAN.</t>
        </is>
      </c>
    </row>
    <row r="8" ht="42" customHeight="1">
      <c r="A8" s="10" t="inlineStr">
        <is>
          <t>SRC-SP25-04</t>
        </is>
      </c>
      <c r="B8" s="11" t="inlineStr">
        <is>
          <t>TikTok gross receipts 2025 (Q1+Q2)</t>
        </is>
      </c>
      <c r="C8" s="14" t="n">
        <v>25417.49</v>
      </c>
      <c r="D8" s="11" t="inlineStr">
        <is>
          <t>TikTok-Splitflask-2025-Sales(Jan-Mar).pdf + TikTok-Splitflask-2025-Sales(Apr-June).pdf</t>
        </is>
      </c>
      <c r="E8" s="11" t="inlineStr">
        <is>
          <t>[CLEAN] Layer 1 LOCKED. Platform settlement stated. CLEAN.</t>
        </is>
      </c>
    </row>
    <row r="9" ht="42" customHeight="1">
      <c r="A9" s="10" t="inlineStr">
        <is>
          <t>SRC-SP25-05</t>
        </is>
      </c>
      <c r="B9" s="11" t="inlineStr">
        <is>
          <t>Amazon platform fees (SPLT nominee period)</t>
        </is>
      </c>
      <c r="C9" s="14" t="n">
        <v>77433.28999999999</v>
      </c>
      <c r="D9" s="11" t="inlineStr">
        <is>
          <t>Amazon Seller Central unified transaction CSV (S339)</t>
        </is>
      </c>
      <c r="E9" s="11" t="inlineStr">
        <is>
          <t>[CLEAN] Layer 11/12 LOCKED (stated, coherence-checked). Referral + FBA + advertising + storage. CLEAN.</t>
        </is>
      </c>
    </row>
    <row r="10" ht="42" customHeight="1">
      <c r="A10" s="10" t="inlineStr">
        <is>
          <t>SRC-SP25-06</t>
        </is>
      </c>
      <c r="B10" s="11" t="inlineStr">
        <is>
          <t>Amazon shipping labels (SPLT period)</t>
        </is>
      </c>
      <c r="C10" s="14" t="n">
        <v>9719.190000000001</v>
      </c>
      <c r="D10" s="11" t="inlineStr">
        <is>
          <t>S339 (Shipping Services rows, SPLT period Feb 5–Dec 31)</t>
        </is>
      </c>
      <c r="E10" s="11" t="inlineStr">
        <is>
          <t>[CLEAN] Layer 12 stated. CLEAN.</t>
        </is>
      </c>
    </row>
    <row r="11" ht="42" customHeight="1">
      <c r="A11" s="10" t="inlineStr">
        <is>
          <t>SRC-SP25-07</t>
        </is>
      </c>
      <c r="B11" s="11" t="inlineStr">
        <is>
          <t>Amazon returns/refunds (SPLT period)</t>
        </is>
      </c>
      <c r="C11" s="14" t="n">
        <v>17631.26</v>
      </c>
      <c r="D11" s="11" t="inlineStr">
        <is>
          <t>S339 (stated refund rows, SPLT period)</t>
        </is>
      </c>
      <c r="E11" s="11" t="inlineStr">
        <is>
          <t>[CLEAN] Layer 11/12 stated. CLEAN.</t>
        </is>
      </c>
    </row>
    <row r="12" ht="42" customHeight="1">
      <c r="A12" s="26" t="inlineStr">
        <is>
          <t>SRC-SP25-08</t>
        </is>
      </c>
      <c r="B12" s="15" t="inlineStr">
        <is>
          <t>Shopify Payments fee (2.9% rate)</t>
        </is>
      </c>
      <c r="C12" s="16" t="n">
        <v>3163</v>
      </c>
      <c r="D12" s="15" t="inlineStr">
        <is>
          <t>S340 (Shopify report), S057 (1099-K) — rate applied</t>
        </is>
      </c>
      <c r="E12" s="15" t="inlineStr">
        <is>
          <t>[PROVISIONAL] Rate is stated; amount derived at 2.9%. Upgrade to CLEAN if Shopify payout report shows exact fee line. Gate: PROVISIONAL — enter V12 with label.</t>
        </is>
      </c>
    </row>
    <row r="13" ht="42" customHeight="1">
      <c r="A13" s="10" t="inlineStr">
        <is>
          <t>SRC-SP25-09</t>
        </is>
      </c>
      <c r="B13" s="11" t="inlineStr">
        <is>
          <t>TikTok platform costs (Q1+Q2+H2 storage)</t>
        </is>
      </c>
      <c r="C13" s="14" t="n">
        <v>9694.440000000001</v>
      </c>
      <c r="D13" s="11" t="inlineStr">
        <is>
          <t>S341, S342, S343 (TikTok settlement files)</t>
        </is>
      </c>
      <c r="E13" s="11" t="inlineStr">
        <is>
          <t>[CLEAN] Layer 11 stated. Breakdown: referral + affiliate/ads + net shipping + storage − reimb. CLEAN.</t>
        </is>
      </c>
    </row>
    <row r="14" ht="42" customHeight="1">
      <c r="A14" s="10" t="inlineStr">
        <is>
          <t>SRC-SP25-10</t>
        </is>
      </c>
      <c r="B14" s="11" t="inlineStr">
        <is>
          <t>SPLT 2025 WF bank — all categories ($369,981 credits / $360,131 debits)</t>
        </is>
      </c>
      <c r="C14" s="14" t="n">
        <v>369980.87</v>
      </c>
      <c r="D14" s="11" t="inlineStr">
        <is>
          <t>SPLT WF …0423 statements S177–S188 (Jan–Dec 2025, 12 months, 916 rows)</t>
        </is>
      </c>
      <c r="E14" s="11" t="inlineStr">
        <is>
          <t>[CLEAN] Layer 8 footed. Three-way match: credits − debits = $9,850.39 = closing balance. CLEAN.</t>
        </is>
      </c>
    </row>
    <row r="15" ht="42" customHeight="1">
      <c r="A15" s="10" t="inlineStr">
        <is>
          <t>SRC-SP25-11</t>
        </is>
      </c>
      <c r="B15" s="11" t="inlineStr">
        <is>
          <t>COGS — supplier payments (Kangdao / Dongguan)</t>
        </is>
      </c>
      <c r="C15" s="14" t="n">
        <v>103463</v>
      </c>
      <c r="D15" s="11" t="inlineStr">
        <is>
          <t>SPLT_2025_Txns COGS_SUPPLIER, bank wires to Splitflask manufacturer</t>
        </is>
      </c>
      <c r="E15" s="11" t="inlineStr">
        <is>
          <t>[CLEAN] Bank-substantiated (footed statements). CLEAN.</t>
        </is>
      </c>
    </row>
    <row r="16" ht="42" customHeight="1">
      <c r="A16" s="10" t="inlineStr">
        <is>
          <t>SRC-SP25-12</t>
        </is>
      </c>
      <c r="B16" s="11" t="inlineStr">
        <is>
          <t>Facebook ads — Chase ···3247 (Splitflask)</t>
        </is>
      </c>
      <c r="C16" s="14" t="n">
        <v>51294.89</v>
      </c>
      <c r="D16" s="11" t="inlineStr">
        <is>
          <t>Facebook-Ads-Splitflask-2025-invoice (Meta invoice, card-coded)</t>
        </is>
      </c>
      <c r="E16" s="11" t="inlineStr">
        <is>
          <t>[CLEAN] Layer 11 stated. Invoice attributes spend by card; ···3247 = SPLT Chase. CLEAN.</t>
        </is>
      </c>
    </row>
    <row r="17" ht="42" customHeight="1">
      <c r="A17" s="26" t="inlineStr">
        <is>
          <t>SRC-SP25-13</t>
        </is>
      </c>
      <c r="B17" s="15" t="inlineStr">
        <is>
          <t>Global-E, intl wires, BNPL, wholesale, Amazon other (bank channels)</t>
        </is>
      </c>
      <c r="C17" s="16" t="n">
        <v>48506.83</v>
      </c>
      <c r="D17" s="15" t="inlineStr">
        <is>
          <t>SPLT_2025_Txns (footed, Layer 8) — REV_GLOBAL_E + REV_INTL_WIRE + REV_BNPL + REV_WHOLESALE + REV_AMAZON_*</t>
        </is>
      </c>
      <c r="E17" s="15" t="inlineStr">
        <is>
          <t>[CLEAN (bank-footed)] Note: BNPL $9,063 may overlap Shopify 1099-K; Amazon CA/MX $9,022 may overlap nominee — verify. Gate: CLEAN from bank; double-count risk flagged.</t>
        </is>
      </c>
    </row>
    <row r="18" ht="42" customHeight="1">
      <c r="A18" s="10" t="inlineStr">
        <is>
          <t>SRC-SP25-14</t>
        </is>
      </c>
      <c r="B18" s="11" t="inlineStr">
        <is>
          <t>Kickstarter deferred revenue</t>
        </is>
      </c>
      <c r="C18" s="14" t="n">
        <v>54386.08</v>
      </c>
      <c r="D18" s="11" t="inlineStr">
        <is>
          <t>SPLT_2025_Txns DEFERRED_KICKSTARTER (11 deposits, Layer 1)</t>
        </is>
      </c>
      <c r="E18" s="11" t="inlineStr">
        <is>
          <t>[CLEAN] Bank-verified. Deferred — fulfillment obligation unfulfilled as of 12/31/25. Correctly excluded from income. CLEAN.</t>
        </is>
      </c>
    </row>
    <row r="19" ht="42" customHeight="1">
      <c r="A19" s="5" t="inlineStr">
        <is>
          <t>SRC-SP25-15</t>
        </is>
      </c>
      <c r="B19" s="6" t="inlineStr">
        <is>
          <t>Chase ···3247 non-FB charges (~$67K estimated)</t>
        </is>
      </c>
      <c r="C19" s="6" t="inlineStr">
        <is>
          <t>BLOCKED</t>
        </is>
      </c>
      <c r="D19" s="6" t="inlineStr">
        <is>
          <t>Chase 2025 card statements — NOT in source docs this session</t>
        </is>
      </c>
      <c r="E19" s="6" t="inlineStr">
        <is>
          <t>[BLOCKED] Cannot enter V12 without Chase 2025 statements. Residual estimate ($118,406 WF→Chase pmts − $51,295 FB ads) is a plug — not substantiated. BLOCKED until statements received.</t>
        </is>
      </c>
    </row>
    <row r="20" ht="8" customHeight="1"/>
    <row r="21" ht="22" customHeight="1">
      <c r="A21" s="22" t="inlineStr">
        <is>
          <t>LEGEND: GREEN = CLEAN (gate passed, V12-eligible)  |  ORANGE = PROVISIONAL (enter V12 with label)  |  YELLOW = BLOCKED (cannot enter V12 without additional source docs)</t>
        </is>
      </c>
    </row>
  </sheetData>
  <mergeCells count="3">
    <mergeCell ref="A2:E2"/>
    <mergeCell ref="A1:E1"/>
    <mergeCell ref="A21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2026-07-11T08:59:33Z</dcterms:created>
  <dcterms:modified xsi:type="dcterms:W3CDTF">2026-07-12T03:06:22Z</dcterms:modified>
</cp:coreProperties>
</file>