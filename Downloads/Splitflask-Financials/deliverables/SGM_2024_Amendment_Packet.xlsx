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-K Recon" sheetId="2" state="visible" r:id="rId2"/>
    <sheet name="Revenue" sheetId="3" state="visible" r:id="rId3"/>
    <sheet name="COGS &amp; Inventory" sheetId="4" state="visible" r:id="rId4"/>
    <sheet name="Deductions" sheetId="5" state="visible" r:id="rId5"/>
    <sheet name="Intercompany" sheetId="6" state="visible" r:id="rId6"/>
    <sheet name="Sour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name val="Calibri"/>
      <b val="1"/>
      <color rgb="00000000"/>
      <sz val="10"/>
    </font>
    <font>
      <name val="Calibri"/>
      <sz val="10"/>
    </font>
    <font>
      <name val="Calibri"/>
      <color rgb="00000000"/>
      <sz val="10"/>
    </font>
    <font>
      <name val="Calibri"/>
      <color rgb="00C00000"/>
      <sz val="10"/>
    </font>
    <font>
      <name val="Calibri"/>
      <i val="1"/>
      <color rgb="007030A0"/>
      <sz val="10"/>
    </font>
    <font>
      <name val="Calibri"/>
      <color rgb="007030A0"/>
      <sz val="10"/>
    </font>
    <font>
      <name val="Calibri"/>
      <b val="1"/>
      <color rgb="00C00000"/>
      <sz val="10"/>
    </font>
    <font>
      <name val="Calibri"/>
      <b val="1"/>
      <i val="1"/>
      <color rgb="007030A0"/>
      <sz val="10"/>
    </font>
    <font>
      <name val="Calibri"/>
      <b val="1"/>
      <color rgb="007030A0"/>
      <sz val="10"/>
    </font>
    <font>
      <name val="Calibri"/>
      <color rgb="00006100"/>
      <sz val="10"/>
    </font>
    <font>
      <name val="Calibri"/>
      <i val="1"/>
      <color rgb="00666666"/>
      <sz val="10"/>
    </font>
    <font>
      <name val="Calibri"/>
      <b val="1"/>
      <color rgb="007030A0"/>
      <sz val="11"/>
    </font>
    <font>
      <name val="Calibri"/>
      <b val="1"/>
      <color rgb="00006100"/>
      <sz val="10"/>
    </font>
    <font>
      <name val="Calibri"/>
      <b val="1"/>
      <color rgb="00FFFFFF"/>
      <sz val="10"/>
    </font>
    <font>
      <name val="Calibri"/>
      <b val="1"/>
      <color rgb="00006100"/>
      <sz val="9"/>
    </font>
    <font>
      <name val="Calibri"/>
      <b val="1"/>
      <color rgb="007030A0"/>
      <sz val="9"/>
    </font>
    <font>
      <name val="Calibri"/>
      <b val="1"/>
      <color rgb="00C00000"/>
      <sz val="9"/>
    </font>
    <font>
      <name val="Calibri"/>
      <b val="1"/>
      <color rgb="00FF0000"/>
      <sz val="9"/>
    </font>
    <font>
      <name val="Calibri"/>
      <b val="1"/>
      <color rgb="001F497D"/>
      <sz val="9"/>
    </font>
    <font>
      <name val="Calibri"/>
      <sz val="9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99"/>
      </patternFill>
    </fill>
    <fill>
      <patternFill patternType="solid">
        <fgColor rgb="00FFD7D7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4472C4"/>
      </top>
    </border>
    <border>
      <left/>
      <right/>
      <top style="medium">
        <color rgb="004472C4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4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4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4" fontId="14" fillId="0" borderId="0" applyAlignment="1" pivotButton="0" quotePrefix="0" xfId="0">
      <alignment horizontal="right" vertical="center"/>
    </xf>
    <xf numFmtId="4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vertical="center"/>
    </xf>
    <xf numFmtId="0" fontId="0" fillId="0" borderId="2" pivotButton="0" quotePrefix="0" xfId="0"/>
    <xf numFmtId="4" fontId="12" fillId="6" borderId="0" applyAlignment="1" pivotButton="0" quotePrefix="0" xfId="0">
      <alignment horizontal="right" vertical="center"/>
    </xf>
    <xf numFmtId="0" fontId="17" fillId="7" borderId="0" applyAlignment="1" pivotButton="0" quotePrefix="0" xfId="0">
      <alignment vertical="center"/>
    </xf>
    <xf numFmtId="0" fontId="14" fillId="7" borderId="0" applyAlignment="1" pivotButton="0" quotePrefix="0" xfId="0">
      <alignment horizontal="left" vertical="center"/>
    </xf>
    <xf numFmtId="4" fontId="6" fillId="7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/>
    </xf>
    <xf numFmtId="0" fontId="17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left" vertical="center" wrapText="1"/>
    </xf>
    <xf numFmtId="0" fontId="1" fillId="0" borderId="0" pivotButton="0" quotePrefix="0" xfId="0"/>
    <xf numFmtId="4" fontId="8" fillId="6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/>
    </xf>
    <xf numFmtId="4" fontId="8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4" fontId="6" fillId="6" borderId="0" applyAlignment="1" pivotButton="0" quotePrefix="0" xfId="0">
      <alignment horizontal="right" vertical="center"/>
    </xf>
    <xf numFmtId="4" fontId="12" fillId="7" borderId="0" applyAlignment="1" pivotButton="0" quotePrefix="0" xfId="0">
      <alignment horizontal="right" vertical="center"/>
    </xf>
    <xf numFmtId="0" fontId="4" fillId="8" borderId="0" applyAlignment="1" pivotButton="0" quotePrefix="0" xfId="0">
      <alignment vertical="center"/>
    </xf>
    <xf numFmtId="4" fontId="8" fillId="8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4" fontId="6" fillId="5" borderId="0" applyAlignment="1" pivotButton="0" quotePrefix="0" xfId="0">
      <alignment horizontal="right" vertical="center"/>
    </xf>
    <xf numFmtId="4" fontId="19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wrapText="1"/>
    </xf>
    <xf numFmtId="4" fontId="6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/>
    </xf>
    <xf numFmtId="4" fontId="11" fillId="4" borderId="0" applyAlignment="1" pivotButton="0" quotePrefix="0" xfId="0">
      <alignment horizontal="right" vertical="center"/>
    </xf>
    <xf numFmtId="4" fontId="9" fillId="4" borderId="0" applyAlignment="1" pivotButton="0" quotePrefix="0" xfId="0">
      <alignment horizontal="right" vertical="center"/>
    </xf>
    <xf numFmtId="4" fontId="14" fillId="4" borderId="0" applyAlignment="1" pivotButton="0" quotePrefix="0" xfId="0">
      <alignment horizontal="right" vertical="center"/>
    </xf>
    <xf numFmtId="0" fontId="20" fillId="6" borderId="0" applyAlignment="1" pivotButton="0" quotePrefix="0" xfId="0">
      <alignment horizontal="center"/>
    </xf>
    <xf numFmtId="4" fontId="8" fillId="7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4" fontId="9" fillId="0" borderId="0" applyAlignment="1" pivotButton="0" quotePrefix="0" xfId="0">
      <alignment horizontal="right"/>
    </xf>
    <xf numFmtId="0" fontId="23" fillId="5" borderId="0" applyAlignment="1" pivotButton="0" quotePrefix="0" xfId="0">
      <alignment horizont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" fillId="6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6" fillId="6" borderId="0" applyAlignment="1" pivotButton="0" quotePrefix="0" xfId="0">
      <alignment horizontal="center" wrapText="1"/>
    </xf>
    <xf numFmtId="0" fontId="26" fillId="7" borderId="0" applyAlignment="1" pivotButton="0" quotePrefix="0" xfId="0">
      <alignment horizontal="center" wrapText="1"/>
    </xf>
    <xf numFmtId="0" fontId="26" fillId="3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>
      <c r="A1" s="1" t="inlineStr">
        <is>
          <t>SGM 2024 (1120-S) Amendment — Summary Waterfall</t>
        </is>
      </c>
    </row>
    <row r="2">
      <c r="A2" s="2" t="inlineStr">
        <is>
          <t>Social Gear Media LLC  |  EIN 83-3077502  |  WF …8625  |  2024 filing period  |  DRAFT — TJ to finalize</t>
        </is>
      </c>
    </row>
    <row r="3" ht="30" customHeight="1">
      <c r="A3" s="3" t="inlineStr">
        <is>
          <t>Line Item</t>
        </is>
      </c>
      <c r="B3" s="3" t="inlineStr">
        <is>
          <t>As Filed
1120-S</t>
        </is>
      </c>
      <c r="C3" s="3" t="inlineStr">
        <is>
          <t>Amended
(Inv. Method)</t>
        </is>
      </c>
      <c r="D3" s="3" t="inlineStr">
        <is>
          <t>Amended
(Cash Method)</t>
        </is>
      </c>
      <c r="E3" s="3" t="inlineStr">
        <is>
          <t>Source / Note</t>
        </is>
      </c>
    </row>
    <row r="4">
      <c r="A4" s="4" t="inlineStr">
        <is>
          <t>REVENUE</t>
        </is>
      </c>
    </row>
    <row r="5">
      <c r="A5" s="5" t="inlineStr">
        <is>
          <t>Gross receipts (as filed — net deposits)</t>
        </is>
      </c>
      <c r="B5" s="6" t="n">
        <v>418990</v>
      </c>
      <c r="E5" s="7" t="inlineStr">
        <is>
          <t>1120-S line 1a; SOCIAL GEAR MEDIA LLC 2024 Form 1120-S (2).pdf</t>
        </is>
      </c>
    </row>
    <row r="6">
      <c r="A6" s="5" t="inlineStr">
        <is>
          <t>Gross receipts (amended — Splitflask 1099-K floor)</t>
        </is>
      </c>
      <c r="C6" s="6" t="n">
        <v>521762.4</v>
      </c>
      <c r="D6" s="6" t="n">
        <v>521762.4</v>
      </c>
      <c r="E6" s="7" t="inlineStr">
        <is>
          <t>SGM TIN 1099-K floor $604,026 less Cyberbackpack store $82,264 (pa_25219104950). LOCKED. Sources: S050 Amazon US $344,036; S051 Amazon MX $10,562; S052 Amazon CA $11,870; S055/S060-S068 TikTok $155,295.</t>
        </is>
      </c>
    </row>
    <row r="7">
      <c r="A7" s="8" t="inlineStr">
        <is>
          <t xml:space="preserve">    — Amazon US 1099-K (SGM, 2024)</t>
        </is>
      </c>
      <c r="C7" s="9" t="n">
        <v>344035.75</v>
      </c>
      <c r="D7" s="9" t="n">
        <v>344035.75</v>
      </c>
      <c r="E7" s="7" t="inlineStr">
        <is>
          <t>Source S050: Splitflask-2024-1099K.pdf Box 1a; Form 1008750130; Amazon Payments Inc TIN 20-2936165; 5,836 txns. LOCKED.</t>
        </is>
      </c>
    </row>
    <row r="8">
      <c r="A8" s="8" t="inlineStr">
        <is>
          <t xml:space="preserve">    — Amazon Mexico 1099-K (SGM, 2024)</t>
        </is>
      </c>
      <c r="C8" s="9" t="n">
        <v>10561.67</v>
      </c>
      <c r="D8" s="9" t="n">
        <v>10561.67</v>
      </c>
      <c r="E8" s="7" t="inlineStr">
        <is>
          <t>Source S051: Splitflask-2024-1099K (1).pdf Box 1a; Form 1009016455. LOCKED.</t>
        </is>
      </c>
    </row>
    <row r="9">
      <c r="A9" s="8" t="inlineStr">
        <is>
          <t xml:space="preserve">    — Amazon Canada 1099-K (SGM, 2024)</t>
        </is>
      </c>
      <c r="C9" s="9" t="n">
        <v>11870.02</v>
      </c>
      <c r="D9" s="9" t="n">
        <v>11870.02</v>
      </c>
      <c r="E9" s="7" t="inlineStr">
        <is>
          <t>Source S052: Splitflask-2024-1099K (2).pdf Box 1a; Form 1008750129. LOCKED.</t>
        </is>
      </c>
    </row>
    <row r="10">
      <c r="A10" s="8" t="inlineStr">
        <is>
          <t xml:space="preserve">    — TikTok Shop 1099-K (SGM, 2024)</t>
        </is>
      </c>
      <c r="C10" s="9" t="n">
        <v>155294.96</v>
      </c>
      <c r="D10" s="9" t="n">
        <v>155294.96</v>
      </c>
      <c r="E10" s="7" t="inlineStr">
        <is>
          <t>Source S055 + S060-S068: Splitflask-7495370463474518494B_2024_1099-K (1).pdf; verified penny-exact against 9 monthly detail CSVs. LOCKED.</t>
        </is>
      </c>
    </row>
    <row r="11">
      <c r="A11" s="8" t="inlineStr">
        <is>
          <t xml:space="preserve">    — Cyberbackpack Shopify store (EXCLUDED from Splitflask)</t>
        </is>
      </c>
      <c r="C11" s="10" t="n">
        <v>-82263.58</v>
      </c>
      <c r="D11" s="10" t="n">
        <v>-82263.58</v>
      </c>
      <c r="E11" s="7" t="inlineStr">
        <is>
          <t>Source S058: Shopify-SGM-1099-K.pdf; acct pa_25219104950; Cyberbackpack product. Excluded from Splitflask denominator. Stays on SGM TIN per Option A routing.</t>
        </is>
      </c>
    </row>
    <row r="12">
      <c r="A12" s="8" t="inlineStr">
        <is>
          <t>Gross-up needed (amended vs as-filed)</t>
        </is>
      </c>
      <c r="C12" s="9" t="n">
        <v>102772.4</v>
      </c>
      <c r="D12" s="9" t="n">
        <v>102772.4</v>
      </c>
      <c r="E12" s="7" t="inlineStr">
        <is>
          <t>Cures 1099-K matching exposure: $521,762 amended − $418,990 as-filed. Sourced deductions below offset this gross-up (see Deductions tab).</t>
        </is>
      </c>
    </row>
    <row r="13" ht="6" customHeight="1"/>
    <row r="14">
      <c r="A14" s="4" t="inlineStr">
        <is>
          <t>COST OF GOODS SOLD</t>
        </is>
      </c>
    </row>
    <row r="15">
      <c r="A15" s="5" t="inlineStr">
        <is>
          <t>COGS as filed (owner's earlier estimate — superseded)</t>
        </is>
      </c>
      <c r="B15" s="6" t="n">
        <v>270032</v>
      </c>
      <c r="E15" s="7" t="inlineStr">
        <is>
          <t>1120-S Form 1125-A line 8. Owner confirmed this figure was understated; see COGS &amp; Inventory tab for corrected breakdown.</t>
        </is>
      </c>
    </row>
    <row r="16">
      <c r="A16" s="8" t="inlineStr">
        <is>
          <t>Total inventory purchases (Kangdao wires + mold + samples/supplier)</t>
        </is>
      </c>
      <c r="C16" s="9" t="n">
        <v>390067.65</v>
      </c>
      <c r="D16" s="9" t="n">
        <v>390067.65</v>
      </c>
      <c r="E16" s="7" t="inlineStr">
        <is>
          <t>Source: SGM_2024_Txns ledger tab, all 12 months footed. COGS_INVENTORY (Kangdao/Dongguan): $362,084. COGS_MOLD (Chukwuezugo, 12/26/24): $25,000. COGS_SAMPLES: $2,858. COGS_SUPPLIER: $126. Total $390,068.</t>
        </is>
      </c>
    </row>
    <row r="17">
      <c r="A17" s="8" t="inlineStr">
        <is>
          <t>Less: ending inventory (6,000 units × $9.60/unit)</t>
        </is>
      </c>
      <c r="C17" s="11" t="n">
        <v>-57600</v>
      </c>
      <c r="E17" s="7" t="inlineStr">
        <is>
          <t>INVENTORY METHOD ONLY. Physical count 12/24/24; 6,000 units on hand. Unit cost $9.60 = $10.40 landed − $1.30 freight/unit. TJ: confirm accounting method election (IRC §471 small-business exception allows cash method expensing for S-corps under $26M gross receipts).</t>
        </is>
      </c>
    </row>
    <row r="18">
      <c r="A18" s="5" t="inlineStr">
        <is>
          <t>COGS — Inventory method (amended)</t>
        </is>
      </c>
      <c r="C18" s="12" t="n">
        <v>332468</v>
      </c>
      <c r="E18" s="7">
        <f> $390,068 total purchases − $57,600 ending inventory. USE IF TJ elects inventory method. See COGS &amp; Inventory tab.</f>
        <v/>
      </c>
    </row>
    <row r="19">
      <c r="A19" s="5" t="inlineStr">
        <is>
          <t>COGS — Cash method (amended, full purchases expensed)</t>
        </is>
      </c>
      <c r="D19" s="12" t="n">
        <v>390068</v>
      </c>
      <c r="E19" s="7">
        <f> $390,068 total purchases; no ending inventory adjustment. USE IF TJ elects cash method under IRC §471 exception.</f>
        <v/>
      </c>
    </row>
    <row r="20">
      <c r="A20" s="8" t="inlineStr">
        <is>
          <t>COGS correction vs as-filed</t>
        </is>
      </c>
      <c r="C20" s="9" t="n">
        <v>62436</v>
      </c>
      <c r="D20" s="9" t="n">
        <v>120036</v>
      </c>
      <c r="E20" s="7" t="inlineStr">
        <is>
          <t>Additional COGS deduction vs as-filed $270,032. Inv method: $332,468 − $270,032 = $62,436. Cash method: $390,068 − $270,032 = $120,036. DEEPENS loss (more favorable). Confirmed by owner.</t>
        </is>
      </c>
    </row>
    <row r="21" ht="6" customHeight="1"/>
    <row r="22">
      <c r="A22" s="4" t="inlineStr">
        <is>
          <t>OPERATING DEDUCTIONS</t>
        </is>
      </c>
    </row>
    <row r="23">
      <c r="A23" s="5" t="inlineStr">
        <is>
          <t>Operating deductions — as filed</t>
        </is>
      </c>
      <c r="B23" s="6" t="n">
        <v>182309</v>
      </c>
      <c r="E23" s="7" t="inlineStr">
        <is>
          <t>1120-S Schedule K totals: Salaries $36,000 + Rents $22,500 + Interest $9,528 + Advertising $6,901 + Other $107,380.</t>
        </is>
      </c>
    </row>
    <row r="24">
      <c r="A24" s="8" t="inlineStr">
        <is>
          <t xml:space="preserve">    Salaries and wages</t>
        </is>
      </c>
      <c r="B24" s="9" t="n">
        <v>36000</v>
      </c>
      <c r="C24" s="9" t="n">
        <v>36000</v>
      </c>
      <c r="D24" s="9" t="n">
        <v>36000</v>
      </c>
      <c r="E24" s="7" t="inlineStr">
        <is>
          <t>1120-S line 8. No change proposed.</t>
        </is>
      </c>
    </row>
    <row r="25">
      <c r="A25" s="8" t="inlineStr">
        <is>
          <t xml:space="preserve">    Rent expense (bank-reconstructed)</t>
        </is>
      </c>
      <c r="B25" s="9" t="n">
        <v>22500</v>
      </c>
      <c r="C25" s="9" t="n">
        <v>30241</v>
      </c>
      <c r="D25" s="9" t="n">
        <v>30241</v>
      </c>
      <c r="E25" s="7" t="inlineStr">
        <is>
          <t>As-filed $22,500; bank classification shows $30,241 (Zelle to Della Moda Inc / Kamyar — warehouse). $7,741 additional. TJ to confirm all warehouse rent is deductible.</t>
        </is>
      </c>
    </row>
    <row r="26">
      <c r="A26" s="8" t="inlineStr">
        <is>
          <t xml:space="preserve">    Interest expense</t>
        </is>
      </c>
      <c r="B26" s="9" t="n">
        <v>9528</v>
      </c>
      <c r="C26" s="9" t="n">
        <v>9528</v>
      </c>
      <c r="D26" s="9" t="n">
        <v>9528</v>
      </c>
      <c r="E26" s="7" t="inlineStr">
        <is>
          <t>1120-S line 13. SBA EIDL interest portion (TJ: confirm principal vs interest split on $13,320 EIDL payment). No change.</t>
        </is>
      </c>
    </row>
    <row r="27">
      <c r="A27" s="8" t="inlineStr">
        <is>
          <t xml:space="preserve">    Advertising (bank, confirmed)</t>
        </is>
      </c>
      <c r="B27" s="9" t="n">
        <v>6901</v>
      </c>
      <c r="C27" s="9" t="n">
        <v>6368</v>
      </c>
      <c r="D27" s="9" t="n">
        <v>6368</v>
      </c>
      <c r="E27" s="7" t="inlineStr">
        <is>
          <t>Bank-classified: $6,368 (Meta/FB bank charges + PR + influencer). As-filed $6,901; $533 difference. TJ: confirm if additional ad spend exists on card ···1400 (see flagged item below).</t>
        </is>
      </c>
    </row>
    <row r="28">
      <c r="A28" s="8" t="inlineStr">
        <is>
          <t xml:space="preserve">    Other deductions (bank-reconstructed)</t>
        </is>
      </c>
      <c r="B28" s="9" t="n">
        <v>107380</v>
      </c>
      <c r="C28" s="9" t="n">
        <v>107380</v>
      </c>
      <c r="D28" s="9" t="n">
        <v>107380</v>
      </c>
      <c r="E28" s="7" t="inlineStr">
        <is>
          <t>As-filed $107,380 preserved. Includes opex, bank fees, CA tax $4,360, professional fees, SaaS, office. Full bank-reconciled breakdown available.</t>
        </is>
      </c>
    </row>
    <row r="29">
      <c r="A29" s="8" t="inlineStr">
        <is>
          <t xml:space="preserve">    Operating deductions correction vs as-filed</t>
        </is>
      </c>
      <c r="C29" s="9" t="n">
        <v>7208</v>
      </c>
      <c r="D29" s="9" t="n">
        <v>7208</v>
      </c>
      <c r="E29" s="7" t="inlineStr">
        <is>
          <t>Bank reconstruction adds $7,208 (primarily additional rent). Deepens loss.</t>
        </is>
      </c>
    </row>
    <row r="30">
      <c r="A30" s="5" t="inlineStr">
        <is>
          <t>Operating deductions — amended (bank-reconstructed)</t>
        </is>
      </c>
      <c r="C30" s="6" t="n">
        <v>189517</v>
      </c>
      <c r="D30" s="6" t="n">
        <v>189517</v>
      </c>
      <c r="E30" s="7">
        <f> $36,000 + $30,241 + $9,528 + $6,368 + $107,380. Source: SGM_2024_Txns all 12 months footed. LAYER_5_COHERENCE_AUDIT.md.</f>
        <v/>
      </c>
    </row>
    <row r="31" ht="6" customHeight="1"/>
    <row r="32">
      <c r="A32" s="4" t="inlineStr">
        <is>
          <t>PLATFORM FEES &amp; RETURNS (explicit deductions, offset the revenue gross-up)</t>
        </is>
      </c>
    </row>
    <row r="33">
      <c r="A33" s="13" t="inlineStr">
        <is>
          <t>Amazon US — referral fees</t>
        </is>
      </c>
      <c r="C33" s="10" t="n">
        <v>-32863</v>
      </c>
      <c r="D33" s="10" t="n">
        <v>-32863</v>
      </c>
      <c r="E33" s="7" t="inlineStr">
        <is>
          <t>SOURCED: Splitflask-AMA 2024Jan1-2024Dec31CustomUnifiedTransaction.csv (stated amounts). 15.1% of US 1099-K $344,036.</t>
        </is>
      </c>
    </row>
    <row r="34">
      <c r="A34" s="13" t="inlineStr">
        <is>
          <t>Amazon US — FBA fulfillment fees</t>
        </is>
      </c>
      <c r="C34" s="10" t="n">
        <v>-19144</v>
      </c>
      <c r="D34" s="10" t="n">
        <v>-19144</v>
      </c>
      <c r="E34" s="7" t="inlineStr">
        <is>
          <t>SOURCED: same Unified Transaction CSV. Total core fees (referral + FBA): $52,007.</t>
        </is>
      </c>
    </row>
    <row r="35">
      <c r="A35" s="13" t="inlineStr">
        <is>
          <t>Amazon US — core fees subtotal</t>
        </is>
      </c>
      <c r="C35" s="10" t="n">
        <v>-52007</v>
      </c>
      <c r="D35" s="10" t="n">
        <v>-52007</v>
      </c>
      <c r="E35" s="7" t="inlineStr">
        <is>
          <t>LOCKED: $52,007 = referral $32,863 + FBA $19,144. PATH_B_FEE_SUBSTANTIATION.md Step 1.</t>
        </is>
      </c>
    </row>
    <row r="36">
      <c r="A36" s="13" t="inlineStr">
        <is>
          <t>Amazon US — returns / refunds</t>
        </is>
      </c>
      <c r="C36" s="10" t="n">
        <v>-22838</v>
      </c>
      <c r="D36" s="10" t="n">
        <v>-22838</v>
      </c>
      <c r="E36" s="7" t="inlineStr">
        <is>
          <t>SOURCED: Unified Transaction CSV stated returns. 6.6% of US 1099-K. Gross receipts ($521,762) is gross-of-returns; this deduction is the matching contra-revenue. LAYER_5_COHERENCE_AUDIT.md Check 1.</t>
        </is>
      </c>
    </row>
    <row r="37">
      <c r="A37" s="14" t="inlineStr">
        <is>
          <t>Amazon MX + CA — fees (ESTIMATE)</t>
        </is>
      </c>
      <c r="C37" s="15" t="n">
        <v>-26996</v>
      </c>
      <c r="D37" s="15" t="n">
        <v>-26996</v>
      </c>
      <c r="E37" s="7" t="inlineStr">
        <is>
          <t>ESTIMATE — Not sourced from settlement CSV. Expected similar rate (~15%) on MX $10,562 + CA $11,870. TJ action: request Amazon Seller Central settlement reports for MX and CA accounts to replace with stated amounts.</t>
        </is>
      </c>
    </row>
    <row r="38">
      <c r="A38" s="13" t="inlineStr">
        <is>
          <t>TikTok Shop — platform &amp; affiliate fees</t>
        </is>
      </c>
      <c r="C38" s="10" t="n">
        <v>-22343</v>
      </c>
      <c r="D38" s="10" t="n">
        <v>-22343</v>
      </c>
      <c r="E38" s="7" t="inlineStr">
        <is>
          <t>SOURCED: TikTok Seller Center quarterly income Excel files (4 quarters). Stated components: referral + affiliate commissions $22,343.</t>
        </is>
      </c>
    </row>
    <row r="39">
      <c r="A39" s="13" t="inlineStr">
        <is>
          <t>TikTok Shop — net seller shipping cost</t>
        </is>
      </c>
      <c r="C39" s="10" t="n">
        <v>-27964</v>
      </c>
      <c r="D39" s="10" t="n">
        <v>-27964</v>
      </c>
      <c r="E39" s="7" t="inlineStr">
        <is>
          <t>SOURCED: same quarterly files. Net shipping charged to seller. Symmetric: customer-paid shipping IS inside $155,295 1099-K; seller net shipping cost is matching deduction. LAYER_5_COHERENCE_AUDIT.md Check 2 confirmed symmetric.</t>
        </is>
      </c>
    </row>
    <row r="40">
      <c r="A40" s="13" t="inlineStr">
        <is>
          <t>TikTok Shop — platform-funded co-promo ads</t>
        </is>
      </c>
      <c r="C40" s="10" t="n">
        <v>-1045</v>
      </c>
      <c r="D40" s="10" t="n">
        <v>-1045</v>
      </c>
      <c r="E40" s="7" t="inlineStr">
        <is>
          <t>SOURCED: quarterly files. Seller-paid ads top-up only ($1,045). NOTE: $41,702 TikTok co-funded promotions EXCLUDED (not seller expense; TikTok-funded). LAYER_5_COHERENCE_AUDIT.md.</t>
        </is>
      </c>
    </row>
    <row r="41">
      <c r="A41" s="16" t="inlineStr">
        <is>
          <t>TikTok total seller-borne costs</t>
        </is>
      </c>
      <c r="C41" s="17" t="n">
        <v>-51352</v>
      </c>
      <c r="D41" s="17" t="n">
        <v>-51352</v>
      </c>
      <c r="E41" s="7" t="inlineStr">
        <is>
          <t>LOCKED: $51,352 = fees $22,343 + net shipping $27,964 + ads $1,045. Ties penny-exact: $155,295 − $51,352 − $41,702 co-promo = $62,241 bank deposits.</t>
        </is>
      </c>
    </row>
    <row r="42">
      <c r="A42" s="14" t="inlineStr">
        <is>
          <t>Shopify Payments fee (ESTIMATE)</t>
        </is>
      </c>
      <c r="C42" s="15" t="n">
        <v>-5276</v>
      </c>
      <c r="D42" s="15" t="n">
        <v>-5276</v>
      </c>
      <c r="E42" s="7" t="inlineStr">
        <is>
          <t>ESTIMATE. Real fee ~2.9% on consumer-paid $181,912 from Splitflask store. Note: Shopify Splitflask 1099-K on PERSONAL TIN (pa_28592734488); per Option A this revenue reports on Personal Schedule C, NOT SGM 1120-S. This fee line applies if TJ chooses Option B (SGM). Confirm routing first.</t>
        </is>
      </c>
    </row>
    <row r="43">
      <c r="A43" s="16" t="inlineStr">
        <is>
          <t>Total platform fees + returns (sourced)</t>
        </is>
      </c>
      <c r="C43" s="17" t="n">
        <v>-126197</v>
      </c>
      <c r="D43" s="17" t="n">
        <v>-126197</v>
      </c>
      <c r="E43" s="7">
        <f> Amazon US fees $52,007 + returns $22,838 + TikTok $51,352. These OFFSET the $102,772 gross-up and then some: $126,197 offsets &gt; $102,772 gross-up = net FAVORABLE.</f>
        <v/>
      </c>
    </row>
    <row r="44">
      <c r="A44" s="18" t="inlineStr">
        <is>
          <t>Total platform fees + returns + estimates</t>
        </is>
      </c>
      <c r="C44" s="19" t="n">
        <v>-158469</v>
      </c>
      <c r="D44" s="19" t="n">
        <v>-158469</v>
      </c>
      <c r="E44" s="7" t="inlineStr">
        <is>
          <t>Includes estimates: MX/CA $26,996 + Shopify $5,276. Estimates NOT yet sourced; label as estimated in filing.</t>
        </is>
      </c>
    </row>
    <row r="45" ht="6" customHeight="1"/>
    <row r="46">
      <c r="A46" s="4" t="inlineStr">
        <is>
          <t>FREIGHT (SGM net Splitflask share)</t>
        </is>
      </c>
    </row>
    <row r="47">
      <c r="A47" s="13" t="inlineStr">
        <is>
          <t>SGM gross freight paid to freight forwarders</t>
        </is>
      </c>
      <c r="C47" s="10" t="n">
        <v>-89120.5</v>
      </c>
      <c r="D47" s="10" t="n">
        <v>-89120.5</v>
      </c>
      <c r="E47" s="7" t="inlineStr">
        <is>
          <t>SOURCED: 9 wire payments in SGM_2024_Txns (Guangzhou Zunhuang Int Freight + CGL LA). All 12 months footed. Sources S110-S121.</t>
        </is>
      </c>
    </row>
    <row r="48">
      <c r="A48" s="13" t="inlineStr">
        <is>
          <t>Less: CB reimbursement — explicit freight labeled</t>
        </is>
      </c>
      <c r="C48" s="20" t="n">
        <v>15067</v>
      </c>
      <c r="D48" s="20" t="n">
        <v>15067</v>
      </c>
      <c r="E48" s="7" t="inlineStr">
        <is>
          <t>Layer 6 intercompany reconciliation: CB paid SGM labeled freight: Jan $12,067 + May $2,000 + Jun $1,000 = $15,067. Source: CB_2024_Txns INTERCO_TO_SGM_FREIGHT lines.</t>
        </is>
      </c>
    </row>
    <row r="49">
      <c r="A49" s="13" t="inlineStr">
        <is>
          <t>Less: intercompany receivable (SGM → CB, Path b)</t>
        </is>
      </c>
      <c r="C49" s="20" t="n">
        <v>8135.5</v>
      </c>
      <c r="D49" s="20" t="n">
        <v>8135.5</v>
      </c>
      <c r="E49" s="7" t="inlineStr">
        <is>
          <t>SGM fronted $10,135.50 Guangzhou wire for Cyberbackpack shipment; CB reimbursed $2,000; $8,135.50 remains CB's payable to SGM. Per Path b (owner decision): SGM records $8,135.50 RECEIVABLE asset; freight cost allocated to CB (benefitting entity). Layer 6 intercompany reconciliation.</t>
        </is>
      </c>
    </row>
    <row r="50">
      <c r="A50" s="16" t="inlineStr">
        <is>
          <t>SGM net Splitflask freight (amended deduction)</t>
        </is>
      </c>
      <c r="C50" s="17" t="n">
        <v>-65918</v>
      </c>
      <c r="D50" s="17" t="n">
        <v>-65918</v>
      </c>
      <c r="E50" s="7" t="inlineStr">
        <is>
          <t>LOCKED: $89,120.50 − $15,067 − $8,135.50 = $65,918.00. Source: Layer 6 intercompany recon; CLAUDE.md.</t>
        </is>
      </c>
    </row>
    <row r="51">
      <c r="A51" s="21" t="inlineStr">
        <is>
          <t>NOTE: freight was NOT in the as-filed 1120-S deductions</t>
        </is>
      </c>
      <c r="E51" s="7" t="inlineStr">
        <is>
          <t>LAYER_5_COHERENCE_AUDIT.md Check 6: freight not in $182,309 as-filed deductions. Adding $65,918 is a NEW deduction in the amendment (deepens loss by $65,918).</t>
        </is>
      </c>
    </row>
    <row r="52" ht="6" customHeight="1"/>
    <row r="53">
      <c r="A53" s="22" t="inlineStr">
        <is>
          <t>NON-DEDUCTIBLES REMOVED FROM AMENDED RETURN</t>
        </is>
      </c>
    </row>
    <row r="54">
      <c r="A54" s="23" t="inlineStr">
        <is>
          <t>AmEx payments reclassified — owner draw (NOT deductible)</t>
        </is>
      </c>
      <c r="B54" s="10" t="n">
        <v>-23676</v>
      </c>
      <c r="E54" s="7" t="inlineStr">
        <is>
          <t>AmEx is PERSONAL card (Arize, accts -12004/-12012, 2021 carry balance). SGM paid personal debt from WF 8625 → owner draw / distribution. RECON_AMEX_2024: all 7 available stmt months footed. AmEx real business charges: ~$720 (PatentYogi $152 + ALL IN Podcast $500 + IONOS/GoDaddy $68) → move to OPEX_SOFTWARE (still deductible). Net correction: −$23,676 removed + $720 added = −$22,956 impact on base.</t>
        </is>
      </c>
    </row>
    <row r="55">
      <c r="A55" s="23" t="inlineStr">
        <is>
          <t>Shopify Capital principal repayment (NOT deductible)</t>
        </is>
      </c>
      <c r="E55" s="7" t="inlineStr">
        <is>
          <t>~$37,136 withheld from Shopify payouts = principal repayment (non-deductible per owner decision). Only interest portion deductible. Owner decision locked in CLAUDE.md. TJ: pull Shopify Capital statement to isolate interest component.</t>
        </is>
      </c>
    </row>
    <row r="56">
      <c r="A56" s="23" t="inlineStr">
        <is>
          <t>SBA EIDL principal (NOT deductible)</t>
        </is>
      </c>
      <c r="E56" s="7" t="inlineStr">
        <is>
          <t>TJ to split $13,320 EIDL payment into principal (non-deductible) and interest (deductible). Already in as-filed $9,528 interest line.</t>
        </is>
      </c>
    </row>
    <row r="57" ht="6" customHeight="1"/>
    <row r="58">
      <c r="A58" s="24" t="inlineStr">
        <is>
          <t>AMENDED ORDINARY INCOME / (LOSS)</t>
        </is>
      </c>
      <c r="B58" s="25" t="n"/>
      <c r="C58" s="25" t="n"/>
      <c r="D58" s="25" t="n"/>
      <c r="E58" s="25" t="n"/>
    </row>
    <row r="59">
      <c r="A59" s="8" t="inlineStr">
        <is>
          <t>As-filed ordinary income (loss) — 1120-S line 22</t>
        </is>
      </c>
      <c r="B59" s="26" t="n">
        <v>-33351</v>
      </c>
      <c r="E59" s="7" t="inlineStr">
        <is>
          <t>SOCIAL GEAR MEDIA LLC 2024 Form 1120-S (2).pdf line 22.</t>
        </is>
      </c>
    </row>
    <row r="60">
      <c r="A60" s="5" t="inlineStr">
        <is>
          <t>Amended ordinary income (loss) — GROSS-UP MODEL, inventory method</t>
        </is>
      </c>
      <c r="C60" s="26" t="n">
        <v>-192339</v>
      </c>
      <c r="E60" s="7" t="inlineStr">
        <is>
          <t>LOCKED (CLAUDE.md Layer 6 + Path b). Revenue gross-up $102,772 PLUS sourced fee deductions $126,197 PLUS COGS correction $62,436 PLUS freight $65,918 PLUS opex correction $7,208 MINUS ending inventory reduction $57,600 = net −$192,339. Amendment is FAVORABLE — does NOT raise tax.</t>
        </is>
      </c>
    </row>
    <row r="61">
      <c r="A61" s="5" t="inlineStr">
        <is>
          <t>Amended ordinary income (loss) — GROSS-UP MODEL, cash method</t>
        </is>
      </c>
      <c r="D61" s="26" t="n">
        <v>-249939</v>
      </c>
      <c r="E61" s="7" t="inlineStr">
        <is>
          <t>Same as inventory method but no ending inventory deduction: adds $57,600 more expense. MORE favorable. TJ elects accounting method.</t>
        </is>
      </c>
    </row>
    <row r="62">
      <c r="A62" s="8" t="inlineStr">
        <is>
          <t>Improvement vs as-filed (loss deepens — more favorable)</t>
        </is>
      </c>
      <c r="C62" s="26" t="n">
        <v>-158988</v>
      </c>
      <c r="D62" s="26" t="n">
        <v>-216588</v>
      </c>
      <c r="E62" s="7" t="inlineStr">
        <is>
          <t>Inv method: $192,339 − $33,351 = $158,988 additional loss. Cash method: $249,939 − $33,351 = $216,588 additional loss. CONFIRMS amendment does NOT raise tax (reduces pass-through income to Riz/Cheryl K-1). Both methods favorable.</t>
        </is>
      </c>
    </row>
    <row r="63">
      <c r="A63" s="5" t="inlineStr">
        <is>
          <t>Net tax direction: FAVORABLE on both methods</t>
        </is>
      </c>
      <c r="E63" s="7" t="inlineStr">
        <is>
          <t>All entity-years confirmed favorable per CLAUDE.md Layer 12. This amendment cures 1099-K matching exposure at zero tax cost. K-1 loss passed through to Riz/Cheryl 1040 — net personal tax reduces.</t>
        </is>
      </c>
    </row>
    <row r="64" ht="6" customHeight="1"/>
    <row r="65">
      <c r="A65" s="27" t="inlineStr">
        <is>
          <t>TJ DECISION: TWO COMPETING FILING MODELS</t>
        </is>
      </c>
    </row>
    <row r="66">
      <c r="A66" s="28" t="inlineStr">
        <is>
          <t>MODEL A — GROSS-UP (this packet's primary analysis)</t>
        </is>
      </c>
      <c r="C66" s="29" t="n">
        <v>-192339</v>
      </c>
      <c r="D66" s="29" t="n">
        <v>-249939</v>
      </c>
      <c r="E66" s="7" t="inlineStr">
        <is>
          <t>Revenue restated to 1099-K gross floor ($521,762) with explicit platform fee deductions. CURES 1099-K matching exposure. Complex but cleanest for IRS matching. Requires sourced fee backup.</t>
        </is>
      </c>
    </row>
    <row r="67">
      <c r="A67" s="28" t="inlineStr">
        <is>
          <t>MODEL B — NET-DEPOSITS (SGM_2024_1120S_Amendment_Packet_FINAL.xlsx)</t>
        </is>
      </c>
      <c r="C67" s="29" t="n">
        <v>-14903</v>
      </c>
      <c r="E67" s="7" t="inlineStr">
        <is>
          <t>Revenue = net bank deposits ($560,938); COGS = inventory method $393,532 (full reconstruction); other deductions as-filed $182,309. Simpler. May NOT cure 1099-K matching exposure — $521,762 floor vs $560,938 deposits can still produce IRS CP2000 on Amazon/TikTok lines. TJ must decide which model cures the matching risk.</t>
        </is>
      </c>
    </row>
    <row r="68">
      <c r="A68" s="30" t="inlineStr">
        <is>
          <t>CHOOSE BEFORE FILING — models differ by ~$158K in reported loss</t>
        </is>
      </c>
      <c r="E68" s="7" t="inlineStr">
        <is>
          <t>Model A: inv method −$192K vs Model B: −$14,903. Both are favorable (neither raises net tax). Difference is: which revenue basis, which COGS, which fees are explicit. Model A is the recommended approach to cure matching; Model B is simpler. TJ and CPA to decide. CLAUDE.md 'Two Filing Models' section.</t>
        </is>
      </c>
    </row>
    <row r="69" ht="6" customHeight="1"/>
    <row r="70">
      <c r="A70" s="31" t="inlineStr">
        <is>
          <t>OPEN TJ DECISIONS (flag before filing)</t>
        </is>
      </c>
    </row>
    <row r="71" ht="18" customHeight="1">
      <c r="A71" s="32" t="inlineStr">
        <is>
          <t>1. CHOOSE FILING MODEL: Gross-up (Model A, cures matching) vs Net-deposits (Model B, simpler).</t>
        </is>
      </c>
    </row>
    <row r="72" ht="18" customHeight="1">
      <c r="A72" s="32" t="inlineStr">
        <is>
          <t>2. ACCOUNTING METHOD: Cash method (no inventory, COGS=$390K) vs Inventory/accrual (COGS=$332K). Both favorable.</t>
        </is>
      </c>
    </row>
    <row r="73" ht="18" customHeight="1">
      <c r="A73" s="32" t="inlineStr">
        <is>
          <t>3. SHOPIFY ENTITY ROUTING: Option A (Personal Schedule C, recommended — 1099-K TIN matches) vs Option B (SGM 1120-S).</t>
        </is>
      </c>
    </row>
    <row r="74" ht="18" customHeight="1">
      <c r="A74" s="32" t="inlineStr">
        <is>
          <t>4. AMAZON MX/CA FEES: ~$26,996 is an ESTIMATE — request settlement reports from Seller Central.</t>
        </is>
      </c>
    </row>
    <row r="75" ht="18" customHeight="1">
      <c r="A75" s="32" t="inlineStr">
        <is>
          <t>5. SHOPIFY CAPITAL: isolate interest portion (deductible) vs principal (non-deductible). Need Shopify Capital statement.</t>
        </is>
      </c>
    </row>
    <row r="76" ht="18" customHeight="1">
      <c r="A76" s="32" t="inlineStr">
        <is>
          <t>6. MOLD $25,000 (Chukwuezugo, related party): confirm arm's length; reclassify from COGS to Section 179 (same income effect).</t>
        </is>
      </c>
    </row>
    <row r="77" ht="18" customHeight="1">
      <c r="A77" s="32" t="inlineStr">
        <is>
          <t>7. MOLD $8,733.33 (Kangdao 12/13/24): confirm this is a separate mold phase, not duplicate of Chukwuezugo $25K.</t>
        </is>
      </c>
    </row>
    <row r="78" ht="18" customHeight="1">
      <c r="A78" s="32" t="inlineStr">
        <is>
          <t>8. EIDL $13,320: split principal (non-deductible) vs interest (deductible). Report net interest only.</t>
        </is>
      </c>
    </row>
    <row r="79" ht="18" customHeight="1">
      <c r="A79" s="32" t="inlineStr">
        <is>
          <t>9. CARD ···1400 ADS: confirm if bank-debit card (already in reconciled $6,368 ads) or separate credit card (incremental $5,145).</t>
        </is>
      </c>
    </row>
    <row r="80" ht="18" customHeight="1">
      <c r="A80" s="32" t="inlineStr">
        <is>
          <t>10. CUTOFF: Cash basis (calendar-year deposits) vs accrual (add Dec-earned/Jan-paid ~$1.5K TikTok, ~$7K Amazon). Cash basis recommended.</t>
        </is>
      </c>
    </row>
    <row r="81" ht="18" customHeight="1">
      <c r="A81" s="32" t="inlineStr">
        <is>
          <t>11. RENT: $30,241 bank-reconstructed vs $22,500 as-filed. Confirm warehouse rental agreement for full $30,241.</t>
        </is>
      </c>
    </row>
    <row r="82" ht="18" customHeight="1">
      <c r="A82" s="32" t="inlineStr">
        <is>
          <t>12. FREIGHT IN AS-FILED: was freight embedded in original $270,032 COGS? If so, adding $65,918 may double-count. TJ confirm.</t>
        </is>
      </c>
    </row>
    <row r="83" ht="18" customHeight="1">
      <c r="A83" s="32" t="inlineStr">
        <is>
          <t>13. CYBERBACKPACK ON SGM: Shopify CB store ($82,264) on SGM TIN. Option A = exclude from SGM, route to CB. Option B = add to SGM with CB COGS. TJ decision.</t>
        </is>
      </c>
    </row>
  </sheetData>
  <mergeCells count="24">
    <mergeCell ref="A77:E77"/>
    <mergeCell ref="A83:E83"/>
    <mergeCell ref="A73:E73"/>
    <mergeCell ref="A82:E82"/>
    <mergeCell ref="A1:E1"/>
    <mergeCell ref="A70:E70"/>
    <mergeCell ref="A79:E79"/>
    <mergeCell ref="A65:E65"/>
    <mergeCell ref="A78:E78"/>
    <mergeCell ref="A46:E46"/>
    <mergeCell ref="A75:E75"/>
    <mergeCell ref="A74:E74"/>
    <mergeCell ref="A80:E80"/>
    <mergeCell ref="A2:E2"/>
    <mergeCell ref="A76:E76"/>
    <mergeCell ref="A71:E71"/>
    <mergeCell ref="A32:E32"/>
    <mergeCell ref="A14:E14"/>
    <mergeCell ref="A22:E22"/>
    <mergeCell ref="A53:E53"/>
    <mergeCell ref="A4:E4"/>
    <mergeCell ref="A81:E81"/>
    <mergeCell ref="A72:E72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8" customWidth="1" min="4" max="4"/>
  </cols>
  <sheetData>
    <row r="1">
      <c r="A1" s="33" t="inlineStr">
        <is>
          <t>SGM 2024 — 1099-K Reconciliation (SGM TIN …7502)</t>
        </is>
      </c>
    </row>
    <row r="2">
      <c r="A2" s="2" t="inlineStr">
        <is>
          <t>All 1099-K floors locked and penny-matched. Sources are original IRS forms on file.</t>
        </is>
      </c>
    </row>
    <row r="3" ht="28" customHeight="1">
      <c r="A3" s="3" t="inlineStr">
        <is>
          <t>Account / Channel</t>
        </is>
      </c>
      <c r="B3" s="3" t="inlineStr">
        <is>
          <t>1099-K Amount</t>
        </is>
      </c>
      <c r="C3" s="3" t="inlineStr">
        <is>
          <t>Product</t>
        </is>
      </c>
      <c r="D3" s="3" t="inlineStr">
        <is>
          <t>Source / Form Reference</t>
        </is>
      </c>
    </row>
    <row r="4">
      <c r="A4" s="4" t="inlineStr">
        <is>
          <t>SGM TIN (EIN 83-3077502) — All 1099-Ks on SGM return</t>
        </is>
      </c>
    </row>
    <row r="5">
      <c r="A5" s="8" t="inlineStr">
        <is>
          <t xml:space="preserve">  Amazon US (acct 1099K_1008750130)</t>
        </is>
      </c>
      <c r="B5" s="34" t="n">
        <v>344035.75</v>
      </c>
      <c r="C5" s="35" t="inlineStr">
        <is>
          <t>Splitflask</t>
        </is>
      </c>
      <c r="D5" s="7" t="inlineStr">
        <is>
          <t>S050: Splitflask-2024-1099K.pdf Box 1a | Form 1008750130 | Amazon Payments Inc TIN 20-2936165 | 5,836 txns | LOCKED</t>
        </is>
      </c>
    </row>
    <row r="6">
      <c r="A6" s="8" t="inlineStr">
        <is>
          <t xml:space="preserve">  Amazon Mexico (acct 1099K_1009016455)</t>
        </is>
      </c>
      <c r="B6" s="34" t="n">
        <v>10561.67</v>
      </c>
      <c r="C6" s="35" t="inlineStr">
        <is>
          <t>Splitflask</t>
        </is>
      </c>
      <c r="D6" s="7" t="inlineStr">
        <is>
          <t>S051: Splitflask-2024-1099K (1).pdf Box 1a | Form 1009016455 | Servicios Comerciales Amazon TIN 98-1192219 | 136 txns | LOCKED</t>
        </is>
      </c>
    </row>
    <row r="7">
      <c r="A7" s="8" t="inlineStr">
        <is>
          <t xml:space="preserve">  Amazon Canada (acct 1099K_1008750129)</t>
        </is>
      </c>
      <c r="B7" s="34" t="n">
        <v>11870.02</v>
      </c>
      <c r="C7" s="35" t="inlineStr">
        <is>
          <t>Splitflask</t>
        </is>
      </c>
      <c r="D7" s="7" t="inlineStr">
        <is>
          <t>S052: Splitflask-2024-1099K (2).pdf Box 1a | Form 1008750129 | Amazon.com.ca Inc TIN 91-2089241 | 204 txns | LOCKED</t>
        </is>
      </c>
    </row>
    <row r="8">
      <c r="A8" s="8" t="inlineStr">
        <is>
          <t xml:space="preserve">  TikTok Shop (acct 7495370463474518494B)</t>
        </is>
      </c>
      <c r="B8" s="34" t="n">
        <v>155294.96</v>
      </c>
      <c r="C8" s="35" t="inlineStr">
        <is>
          <t>Splitflask</t>
        </is>
      </c>
      <c r="D8" s="7" t="inlineStr">
        <is>
          <t>S055 + S060–S068: Splitflask-7495370463474518494B_2024_1099-K (1).pdf | TikTok Inc TIN 47-3892853 | 5,977 txns | Verified penny-exact vs 9 monthly detail CSVs | LOCKED</t>
        </is>
      </c>
    </row>
    <row r="9">
      <c r="A9" s="8" t="inlineStr">
        <is>
          <t xml:space="preserve">  Shopify — Cyberbrands/Cyberbackpack store (pa_25219104950)</t>
        </is>
      </c>
      <c r="B9" s="36" t="n">
        <v>82263.58</v>
      </c>
      <c r="C9" s="37" t="inlineStr">
        <is>
          <t>Cyberbackpack</t>
        </is>
      </c>
      <c r="D9" s="7" t="inlineStr">
        <is>
          <t>S058: Shopify-SGM-1099-K.pdf Box 1a | CORRECTED form | Shopify Payments TIN 39-2078979 | 433 txns | This is the Cyberbackpack store (separate product) — see routing note</t>
        </is>
      </c>
    </row>
    <row r="10">
      <c r="A10" s="38" t="inlineStr">
        <is>
          <t>SGM TOTAL 1099-K FLOOR (all accounts)</t>
        </is>
      </c>
      <c r="B10" s="39" t="n">
        <v>604025.98</v>
      </c>
      <c r="C10" s="40" t="n"/>
      <c r="D10" s="41" t="inlineStr">
        <is>
          <t>LOCKED: sum of 5 forms above. Expected $604,025.98 — EXACT MATCH. CLAUDE.md: sgm.2024.1099k_floor</t>
        </is>
      </c>
    </row>
    <row r="11" ht="6" customHeight="1"/>
    <row r="12">
      <c r="A12" s="4" t="inlineStr">
        <is>
          <t>Splitflask-Only Extraction (excludes Cyberbackpack store)</t>
        </is>
      </c>
    </row>
    <row r="13">
      <c r="A13" s="5" t="inlineStr">
        <is>
          <t>SGM Splitflask-only 1099-K (Amazon US+MX+CA + TikTok)</t>
        </is>
      </c>
      <c r="B13" s="42" t="n">
        <v>521762.4</v>
      </c>
      <c r="D13" s="7" t="inlineStr">
        <is>
          <t>LOCKED: $521,762.40 = $604,025.98 − $82,263.58 Cyberbackpack. This is the amended revenue basis (Option A). CLAUDE.md: PATH_B_FEE_SUBSTANTIATION.md Step 1.</t>
        </is>
      </c>
    </row>
    <row r="14">
      <c r="A14" s="8" t="inlineStr">
        <is>
          <t xml:space="preserve">  Less: Cyberbackpack store (excluded from Splitflask)</t>
        </is>
      </c>
      <c r="B14" s="10" t="n">
        <v>-82263.58</v>
      </c>
      <c r="D14" s="7" t="inlineStr">
        <is>
          <t>Cyberbackpack = separate product. Stays on SGM TIN but excluded from deal/Kendra universe. See Routing Note below.</t>
        </is>
      </c>
    </row>
    <row r="15">
      <c r="A15" s="8" t="inlineStr">
        <is>
          <t>As-filed SGM gross receipts (net deposits basis)</t>
        </is>
      </c>
      <c r="B15" s="9" t="n">
        <v>418990</v>
      </c>
      <c r="D15" s="7" t="inlineStr">
        <is>
          <t>1120-S line 1a as filed.</t>
        </is>
      </c>
    </row>
    <row r="16">
      <c r="A16" s="5" t="inlineStr">
        <is>
          <t>Gap to Splitflask-only 1099-K floor (underreporting)</t>
        </is>
      </c>
      <c r="B16" s="43" t="n">
        <v>102772.4</v>
      </c>
      <c r="D16" s="7">
        <f> $521,762.40 − $418,990. This is the gross-up needed on the SGM 1120-S to cure Amazon US/MX/CA + TikTok matching exposure. Offset by sourced platform fee deductions (see Summary tab).</f>
        <v/>
      </c>
    </row>
    <row r="17" ht="6" customHeight="1"/>
    <row r="18">
      <c r="A18" s="44" t="inlineStr">
        <is>
          <t>Other Entity 1099-Ks (NOT on SGM return)</t>
        </is>
      </c>
    </row>
    <row r="19">
      <c r="A19" s="8" t="inlineStr">
        <is>
          <t xml:space="preserve">  Shopify — Splitflask store (pa_28592734488) [Personal TIN …7639]</t>
        </is>
      </c>
      <c r="B19" s="45" t="n">
        <v>164613.99</v>
      </c>
      <c r="C19" s="46" t="inlineStr">
        <is>
          <t>Splitflask — Personal</t>
        </is>
      </c>
      <c r="D19" s="7" t="inlineStr">
        <is>
          <t>S056: Splitflask-2024-Shopify-1099K.pdf | CORRECTED form | Payee Arizechukwu Nwosu TIN …7639. Option A: report on Personal Schedule C (recommended). Option B: route to SGM 1120-S (higher CP2000 risk). TJ decision.</t>
        </is>
      </c>
    </row>
    <row r="20">
      <c r="A20" s="8" t="inlineStr">
        <is>
          <t xml:space="preserve">  Amazon Cyberbrands (acct 1099K_1008666995) [Cyberbrands TIN …7466]</t>
        </is>
      </c>
      <c r="B20" s="45" t="n">
        <v>22414.83</v>
      </c>
      <c r="C20" s="46" t="inlineStr">
        <is>
          <t>Cyberbackpack</t>
        </is>
      </c>
      <c r="D20" s="7" t="inlineStr">
        <is>
          <t>S053: Amazon-Cyberbrands-2024-1099K-2.pdf | CYBERBRANDS LLC TIN …7466 | Amazon Payments Inc | 126 txns.</t>
        </is>
      </c>
    </row>
    <row r="21" ht="6" customHeight="1"/>
    <row r="22">
      <c r="A22" s="47" t="inlineStr">
        <is>
          <t>2024 Total Filed 1099-K Tie-Out (all TINs)</t>
        </is>
      </c>
    </row>
    <row r="23">
      <c r="A23" s="5" t="inlineStr">
        <is>
          <t>Splitflask total 1099-K (tumbler only, all TINs)</t>
        </is>
      </c>
      <c r="B23" s="42" t="n">
        <v>686376.39</v>
      </c>
      <c r="D23" s="7" t="inlineStr">
        <is>
          <t>LOCKED: Amazon US $344,036 + MX $10,562 + CA $11,870 + TikTok $155,295 + Shopify Personal $164,614 = $686,376.39. Splitflask-only 1099-K total (deal universe). ledger Figures: splitflask.2024.1099k_total</t>
        </is>
      </c>
    </row>
    <row r="24">
      <c r="A24" s="5" t="inlineStr">
        <is>
          <t>Cyberbackpack total 1099-K (all TINs)</t>
        </is>
      </c>
      <c r="B24" s="48" t="n">
        <v>104678.41</v>
      </c>
      <c r="D24" s="7" t="inlineStr">
        <is>
          <t>LOCKED: Shopify CB store (SGM TIN) $82,264 + Amazon Cyberbrands $22,415 = $104,678.41. Tax universe only — NEVER in Splitflask/deal numbers. ledger Figures: cyberbackpack.2024.1099k_total</t>
        </is>
      </c>
    </row>
    <row r="25">
      <c r="A25" s="5" t="inlineStr">
        <is>
          <t>TOTAL 2024 FILED 1099-K (all TINs, all products)</t>
        </is>
      </c>
      <c r="B25" s="49" t="n">
        <v>791054.8</v>
      </c>
      <c r="D25" s="7" t="inlineStr">
        <is>
          <t>LOCKED PENNY-EXACT: $686,376.39 + $104,678.41 = $791,054.80. This is the TAX universe denominator. NOT Splitflask GMV. ledger Figures: total.2024.1099k_filed + total.2024.1099k_product_tieout</t>
        </is>
      </c>
    </row>
    <row r="26" ht="6" customHeight="1"/>
    <row r="27">
      <c r="A27" s="50" t="inlineStr">
        <is>
          <t>ROUTING NOTE — Cyberbackpack Shopify store on SGM TIN:</t>
        </is>
      </c>
    </row>
    <row r="28" ht="45" customHeight="1">
      <c r="A28" s="7" t="inlineStr">
        <is>
          <t>The Shopify Cyberbrands store (pa_25219104950, $82,264) is on SGM TIN but sells Cyberbackpack product. SGM's 1099-K floor INCLUDES this $82,264 (mixed TIN vs. product). Recommendation: exclude from SGM Splitflask gross receipts (subtract $82,264 from total SGM 1099-K floor). Cyberbrands entity deducts Cyberbackpack revenue and costs separately. TJ must decide — see Summary tab Open Items #13.</t>
        </is>
      </c>
    </row>
  </sheetData>
  <mergeCells count="8">
    <mergeCell ref="A1:D1"/>
    <mergeCell ref="A18:D18"/>
    <mergeCell ref="A27:D27"/>
    <mergeCell ref="A22:D22"/>
    <mergeCell ref="A12:D12"/>
    <mergeCell ref="A4:D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</cols>
  <sheetData>
    <row r="1">
      <c r="A1" s="33" t="inlineStr">
        <is>
          <t>SGM 2024 — Revenue Build + Deposits Reconciliation</t>
        </is>
      </c>
    </row>
    <row r="2">
      <c r="A2" s="2" t="inlineStr">
        <is>
          <t>Two-column revenue universe: (A) Gross-up model = 1099-K floor $521,762; (B) Net-deposits model = $560,938. Deposits tie to $895,754.12 penny-exact.</t>
        </is>
      </c>
    </row>
    <row r="4">
      <c r="A4" s="4" t="inlineStr">
        <is>
          <t>MODEL A: GROSS-UP REVENUE ($521,762 Splitflask-only 1099-K basis)</t>
        </is>
      </c>
    </row>
    <row r="5">
      <c r="A5" s="8" t="inlineStr">
        <is>
          <t xml:space="preserve">  Amazon US (SGM, 1099-K gross)</t>
        </is>
      </c>
      <c r="B5" s="9" t="n">
        <v>344035.75</v>
      </c>
      <c r="C5" s="7" t="inlineStr">
        <is>
          <t>Source S050. 1099-K Box 1a. LOCKED. This includes gross product sales before Amazon fees ($52,007), returns ($22,838), and other charges.</t>
        </is>
      </c>
    </row>
    <row r="6">
      <c r="A6" s="8" t="inlineStr">
        <is>
          <t xml:space="preserve">  Amazon Mexico (SGM, 1099-K gross)</t>
        </is>
      </c>
      <c r="B6" s="9" t="n">
        <v>10561.67</v>
      </c>
      <c r="C6" s="7" t="inlineStr">
        <is>
          <t>Source S051. LOCKED.</t>
        </is>
      </c>
    </row>
    <row r="7">
      <c r="A7" s="8" t="inlineStr">
        <is>
          <t xml:space="preserve">  Amazon Canada (SGM, 1099-K gross)</t>
        </is>
      </c>
      <c r="B7" s="9" t="n">
        <v>11870.02</v>
      </c>
      <c r="C7" s="7" t="inlineStr">
        <is>
          <t>Source S052. LOCKED.</t>
        </is>
      </c>
    </row>
    <row r="8">
      <c r="A8" s="8" t="inlineStr">
        <is>
          <t xml:space="preserve">  TikTok Shop (SGM, 1099-K gross)</t>
        </is>
      </c>
      <c r="B8" s="9" t="n">
        <v>155294.96</v>
      </c>
      <c r="C8" s="7" t="inlineStr">
        <is>
          <t>Sources S055/S060-S068. LOCKED. Gross consumer payments (includes customer shipping + co-promo gross-up).</t>
        </is>
      </c>
    </row>
    <row r="9">
      <c r="A9" s="5" t="inlineStr">
        <is>
          <t>GROSS-UP MODEL TOTAL SPLITFLASK REVENUE (SGM 1120-S)</t>
        </is>
      </c>
      <c r="B9" s="42" t="n">
        <v>521762.4</v>
      </c>
      <c r="C9" s="7" t="inlineStr">
        <is>
          <t>LOCKED. Basis for Model A amendment. Shopify Splitflask ($164,614 Personal TIN) → Personal Schedule C per Option A.</t>
        </is>
      </c>
    </row>
    <row r="10" ht="6" customHeight="1"/>
    <row r="11">
      <c r="A11" s="4" t="inlineStr">
        <is>
          <t>MODEL B: NET-DEPOSITS REVENUE ($560,938 basis — Amendment Packet FINAL)</t>
        </is>
      </c>
    </row>
    <row r="12">
      <c r="A12" s="8" t="inlineStr">
        <is>
          <t xml:space="preserve">  Amazon deposits to SGM bank (all platforms, 2024)</t>
        </is>
      </c>
      <c r="B12" s="9" t="n">
        <v>223514.28</v>
      </c>
      <c r="C12" s="7" t="inlineStr">
        <is>
          <t>Source: SGM_2024_Txns bank classification (123 txns). LAYER 3 footed. Includes Amazon US net payouts; note $13K timing gap (Dec payout → Jan 2025).</t>
        </is>
      </c>
    </row>
    <row r="13">
      <c r="A13" s="8" t="inlineStr">
        <is>
          <t xml:space="preserve">  TikTok net deposits to SGM bank</t>
        </is>
      </c>
      <c r="B13" s="9" t="n">
        <v>62240.64</v>
      </c>
      <c r="C13" s="7" t="inlineStr">
        <is>
          <t>Source: SGM_2024_Txns (139 txns). LOCKED deposit basis. TikTok Jan 2025 timing: only $1,499 (not $24.7K as previously estimated — retracted per PATH_B_FEE_SUBSTANTIATION.md).</t>
        </is>
      </c>
    </row>
    <row r="14">
      <c r="A14" s="8" t="inlineStr">
        <is>
          <t xml:space="preserve">  Shopify Splitflask deposits to SGM bank</t>
        </is>
      </c>
      <c r="B14" s="9" t="n">
        <v>138891.21</v>
      </c>
      <c r="C14" s="7" t="inlineStr">
        <is>
          <t>Source: SGM_2024_Txns (288 txns). NOTE: 1099-K is on Personal TIN but cash landed in SGM bank → entity routing issue. Option A: treat as shareholder contribution to SGM. Option B: SGM revenue.</t>
        </is>
      </c>
    </row>
    <row r="15">
      <c r="A15" s="8" t="inlineStr">
        <is>
          <t xml:space="preserve">  Wholesale and B2B deposits</t>
        </is>
      </c>
      <c r="B15" s="9" t="n">
        <v>82234.67999999999</v>
      </c>
      <c r="C15" s="7" t="inlineStr">
        <is>
          <t>Source: SGM_2024_Txns. ESP Promo wires $57,600 + Knocking $11,251 + Von Maur, Walmart, misc B2B. LAYER 3 classified.</t>
        </is>
      </c>
    </row>
    <row r="16">
      <c r="A16" s="8" t="inlineStr">
        <is>
          <t xml:space="preserve">  Services income (Shaed $40K, Teslarati, Munro)</t>
        </is>
      </c>
      <c r="B16" s="9" t="n">
        <v>65348.68</v>
      </c>
      <c r="C16" s="7" t="inlineStr">
        <is>
          <t>Source: SGM_2024_Txns. IMPORTANT: Shaed Inc $40,000 = SERVICES income (not product/wholesale). NOT in GMV. Not Splitflask revenue. Classified SERVICES per Layer 3 correction.</t>
        </is>
      </c>
    </row>
    <row r="17">
      <c r="A17" s="8" t="inlineStr">
        <is>
          <t xml:space="preserve">  Cyberbackpack Shopify deposits to SGM bank</t>
        </is>
      </c>
      <c r="B17" s="9" t="n">
        <v>9166.860000000001</v>
      </c>
      <c r="C17" s="7" t="inlineStr">
        <is>
          <t>Source: SGM_2024_Txns. Small CB deposit into SGM account. Excluded from Splitflask in both models.</t>
        </is>
      </c>
    </row>
    <row r="18">
      <c r="A18" s="5" t="inlineStr">
        <is>
          <t>TOTAL REVENUE DEPOSITS (SGM bank 2024)</t>
        </is>
      </c>
      <c r="B18" s="51" t="n">
        <v>560938</v>
      </c>
      <c r="C18" s="7" t="inlineStr">
        <is>
          <t>NET-DEPOSITS MODEL TOTAL. Source: Layer 3 reconciliation. This is the Model B amended gross receipts basis (excludes the $65,348 services if on a separate line — TJ confirm). As used in SGM_2024_1120S_Amendment_Packet_FINAL.xlsx</t>
        </is>
      </c>
    </row>
    <row r="19" ht="6" customHeight="1"/>
    <row r="20">
      <c r="A20" s="4" t="inlineStr">
        <is>
          <t>DEPOSITS RECONCILIATION — $895,754.12 (on-air basis, bank-substantiated)</t>
        </is>
      </c>
    </row>
    <row r="21">
      <c r="A21" s="8" t="inlineStr">
        <is>
          <t xml:space="preserve">  Revenue deposits (Splitflask + CB + services, Model B basis)</t>
        </is>
      </c>
      <c r="B21" s="9" t="n">
        <v>560938</v>
      </c>
      <c r="C21" s="7" t="inlineStr">
        <is>
          <t>Classification of all product and service income deposits.</t>
        </is>
      </c>
    </row>
    <row r="22">
      <c r="A22" s="8" t="inlineStr">
        <is>
          <t xml:space="preserve">  Non-revenue inflows (loans, intercompany, refunds, transfers)</t>
        </is>
      </c>
      <c r="B22" s="9" t="n">
        <v>314358</v>
      </c>
      <c r="C22" s="7" t="inlineStr">
        <is>
          <t>Source: SGM_2024_Txns LAYER 3. Includes founder loans, CB reimbursements, refund credits, Square advance proceeds, etc. These are NOT business revenue and NOT on the 1120-S.</t>
        </is>
      </c>
    </row>
    <row r="23">
      <c r="A23" s="5" t="inlineStr">
        <is>
          <t>TOTAL SGM 2024 DEPOSITS (on-air figure)</t>
        </is>
      </c>
      <c r="B23" s="49" t="n">
        <v>895754.12</v>
      </c>
      <c r="C23" s="7" t="inlineStr">
        <is>
          <t>PENNY-PERFECT tie to on-air claim. $895,754.12 = ALL inflows to SGM WF …8625 calendar year 2024. Source: LAYER 3 deposit classification, all 12 months footed. LOCKED. Not GMV; not tax revenue — deposits tier.</t>
        </is>
      </c>
    </row>
    <row r="24" ht="6" customHeight="1"/>
    <row r="25">
      <c r="A25" s="52" t="inlineStr">
        <is>
          <t>THREE-TIER WATERFALL REMINDER (how the $895,754 on-air claim reconciles):</t>
        </is>
      </c>
    </row>
    <row r="26">
      <c r="A26" s="5" t="inlineStr">
        <is>
          <t>Tier 1: Total deposits / cash through business</t>
        </is>
      </c>
      <c r="B26" s="6" t="n">
        <v>895754.12</v>
      </c>
      <c r="C26" s="7" t="inlineStr">
        <is>
          <t>All inflows. On-air 2024 claim attaches HERE. Includes loans, intercompany, non-revenue.</t>
        </is>
      </c>
    </row>
    <row r="27">
      <c r="A27" s="5" t="inlineStr">
        <is>
          <t>Tier 2: GMV (Splitflask, consumer-paid, all channels)</t>
        </is>
      </c>
      <c r="B27" s="6" t="n">
        <v>751891</v>
      </c>
      <c r="C27" s="7" t="inlineStr">
        <is>
          <t>Kendra/deal universe. 4 channels: Amazon $321,251 + Shopify $188,569 + TikTok $155,295 + Wholesale $86,776. LOCKED.</t>
        </is>
      </c>
    </row>
    <row r="28">
      <c r="A28" s="5" t="inlineStr">
        <is>
          <t>Tier 3: Net revenue (tax-reported, after fees)</t>
        </is>
      </c>
      <c r="B28" s="6" t="n">
        <v>560938</v>
      </c>
      <c r="C28" s="7" t="inlineStr">
        <is>
          <t>Amended / net deposits basis. Ties to bank.</t>
        </is>
      </c>
    </row>
  </sheetData>
  <mergeCells count="6">
    <mergeCell ref="A25:C25"/>
    <mergeCell ref="A11:C11"/>
    <mergeCell ref="A1:C1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</cols>
  <sheetData>
    <row r="1">
      <c r="A1" s="33" t="inlineStr">
        <is>
          <t>SGM 2024 — COGS &amp; Inventory (amended)</t>
        </is>
      </c>
    </row>
    <row r="2">
      <c r="A2" s="2" t="inlineStr">
        <is>
          <t>Reconstructed from footed bank statements (all 12 months foot to closing balance). Owner confirmed: as-filed $270,032 was understated; $390,068 reconstructed is correct.</t>
        </is>
      </c>
    </row>
    <row r="4">
      <c r="A4" s="4" t="inlineStr">
        <is>
          <t>INVENTORY PURCHASES (2024 — all sourced from footed statements)</t>
        </is>
      </c>
    </row>
    <row r="5">
      <c r="A5" s="8" t="inlineStr">
        <is>
          <t xml:space="preserve">  Kangdao / Dongguan inventory purchases</t>
        </is>
      </c>
      <c r="B5" s="9" t="n">
        <v>362084.09</v>
      </c>
      <c r="C5" s="7" t="inlineStr">
        <is>
          <t xml:space="preserve">  COGS_INVENTORY | Source: SGM_2024_Txns COGS_INVENTORY category, S110-S121 all 12 months footed. 21 wire payments to DONGGUAN KANGDAO INDUSTRIAL CO LTD via JPMorgan Chase. Kangdao ambiguous Sept 2024 wire RESOLVED (identified as Kangdao). LOCKED.</t>
        </is>
      </c>
    </row>
    <row r="6">
      <c r="A6" s="8" t="inlineStr">
        <is>
          <t xml:space="preserve">  Mold fabrication (Chukwuezugo Nwosu, 12/26/24)</t>
        </is>
      </c>
      <c r="B6" s="9" t="n">
        <v>25000</v>
      </c>
      <c r="C6" s="7" t="inlineStr">
        <is>
          <t xml:space="preserve">  COGS_MOLD | Source: SGM_2024_Txns COGS_MOLD. Single wire 12/26/24 to Chukwuezugo Nwosu. Invoice: Mold_Services_Invoice_Completion_Chukwuezugo.docx on file. TJ FLAG: (a) Related party (Riz's brother) — confirm arm's length, commercially reasonable rate, services actually rendered. (b) Mold = capital asset; reclassify from COGS to Section 179 (same income effect if S179 elected; changes Form 1120-S line from 1125-A to Sch K ln 11). (c) Separate from Kangdao mold wire $8,733.33 — confirm not duplicate.</t>
        </is>
      </c>
    </row>
    <row r="7">
      <c r="A7" s="8" t="inlineStr">
        <is>
          <t xml:space="preserve">  Product samples</t>
        </is>
      </c>
      <c r="B7" s="9" t="n">
        <v>2857.98</v>
      </c>
      <c r="C7" s="7" t="inlineStr">
        <is>
          <t xml:space="preserve">  COGS_SAMPLES | Source: SGM_2024_Txns COGS_SAMPLES. Product samples used for B2B, influencer, trade shows.</t>
        </is>
      </c>
    </row>
    <row r="8">
      <c r="A8" s="8" t="inlineStr">
        <is>
          <t xml:space="preserve">  Supplier / component costs</t>
        </is>
      </c>
      <c r="B8" s="9" t="n">
        <v>125.58</v>
      </c>
      <c r="C8" s="7" t="inlineStr">
        <is>
          <t xml:space="preserve">  COGS_SUPPLIER | Source: SGM_2024_Txns COGS_SUPPLIER. Minor component costs.</t>
        </is>
      </c>
    </row>
    <row r="9">
      <c r="A9" s="5" t="inlineStr">
        <is>
          <t>TOTAL PURCHASES (all COGS categories)</t>
        </is>
      </c>
      <c r="B9" s="42" t="n">
        <v>390067.65</v>
      </c>
      <c r="C9" s="7">
        <f> $362,084 + $25,000 + $2,858 + $126. Source: SGM_2024_Txns all 12 months footed. Note: as-filed COGS used only $270,032 — understated by $120,036 vs reconstructed.</f>
        <v/>
      </c>
    </row>
    <row r="10" ht="6" customHeight="1"/>
    <row r="11">
      <c r="A11" s="31" t="inlineStr">
        <is>
          <t>COGS UNDER TWO ACCOUNTING METHODS (TJ decision required)</t>
        </is>
      </c>
    </row>
    <row r="12">
      <c r="A12" s="8" t="inlineStr">
        <is>
          <t>CASH METHOD (IRC §471 exception)</t>
        </is>
      </c>
      <c r="B12" s="53" t="n">
        <v>390067.65</v>
      </c>
      <c r="C12" s="7" t="inlineStr">
        <is>
          <t>Full purchases expensed in year paid. NO ending inventory deduction. Available to S-corps under $26M gross receipts. COGS = $390,068. Amended loss (cash method) ≈ −$249,939.</t>
        </is>
      </c>
    </row>
    <row r="13">
      <c r="A13" s="8" t="inlineStr">
        <is>
          <t>Less: ending inventory — INVENTORY METHOD ONLY</t>
        </is>
      </c>
      <c r="B13" s="54" t="n">
        <v>-57600</v>
      </c>
      <c r="C13" s="7" t="inlineStr">
        <is>
          <t>6,000 units × $9.60/unit = $57,600. Physical count dated 12/24/2024. Unit cost: $10.40 landed − $1.30 freight/unit = $9.60. If TJ elects inventory/accrual method, deduct ending inventory.</t>
        </is>
      </c>
    </row>
    <row r="14">
      <c r="A14" s="5" t="inlineStr">
        <is>
          <t>INVENTORY METHOD COGS (net of ending inventory)</t>
        </is>
      </c>
      <c r="B14" s="55" t="n">
        <v>332467.65</v>
      </c>
      <c r="C14" s="7">
        <f> $390,068 − $57,600. If TJ elects inventory method. Amended loss (inventory method) ≈ −$192,339.</f>
        <v/>
      </c>
    </row>
    <row r="15" ht="6" customHeight="1"/>
    <row r="16">
      <c r="A16" s="4" t="inlineStr">
        <is>
          <t>COGS CORRECTION vs AS-FILED</t>
        </is>
      </c>
    </row>
    <row r="17">
      <c r="A17" s="8" t="inlineStr">
        <is>
          <t xml:space="preserve">  As-filed COGS (owner's original estimate — superseded)</t>
        </is>
      </c>
      <c r="B17" s="9" t="n">
        <v>270032</v>
      </c>
      <c r="C17" s="7" t="inlineStr">
        <is>
          <t>1120-S Form 1125-A. Owner confirmed this was understated; the reconstructed figure is correct per CLAUDE.md.</t>
        </is>
      </c>
    </row>
    <row r="18">
      <c r="A18" s="8" t="inlineStr">
        <is>
          <t xml:space="preserve">  Reconstructed COGS — inventory method</t>
        </is>
      </c>
      <c r="B18" s="9" t="n">
        <v>332468</v>
      </c>
      <c r="C18" s="7" t="inlineStr">
        <is>
          <t>Owner-confirmed correct figure (inventory method). Replacement, not addition: old $270K is retired.</t>
        </is>
      </c>
    </row>
    <row r="19">
      <c r="A19" s="8" t="inlineStr">
        <is>
          <t xml:space="preserve">  Reconstructed COGS — cash method</t>
        </is>
      </c>
      <c r="B19" s="9" t="n">
        <v>390068</v>
      </c>
      <c r="C19" s="7" t="inlineStr">
        <is>
          <t>Owner-confirmed correct figure (cash method).</t>
        </is>
      </c>
    </row>
    <row r="20">
      <c r="A20" s="8" t="inlineStr">
        <is>
          <t xml:space="preserve">  Additional COGS deduction vs as-filed (inventory method)</t>
        </is>
      </c>
      <c r="B20" s="9" t="n">
        <v>62436</v>
      </c>
      <c r="C20" s="7" t="inlineStr">
        <is>
          <t>$332,468 − $270,032. Deepens loss (more favorable).</t>
        </is>
      </c>
    </row>
    <row r="21">
      <c r="A21" s="8" t="inlineStr">
        <is>
          <t xml:space="preserve">  Additional COGS deduction vs as-filed (cash method)</t>
        </is>
      </c>
      <c r="B21" s="9" t="n">
        <v>120036</v>
      </c>
      <c r="C21" s="7" t="inlineStr">
        <is>
          <t>$390,068 − $270,032. Deepens loss (more favorable).</t>
        </is>
      </c>
    </row>
  </sheetData>
  <mergeCells count="5">
    <mergeCell ref="A11:C11"/>
    <mergeCell ref="A1:C1"/>
    <mergeCell ref="A16:C16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44" customWidth="1" min="4" max="4"/>
  </cols>
  <sheetData>
    <row r="1">
      <c r="A1" s="33" t="inlineStr">
        <is>
          <t>SGM 2024 — Deductions Schedule (Amended)</t>
        </is>
      </c>
    </row>
    <row r="2">
      <c r="A2" s="2" t="inlineStr">
        <is>
          <t>Sourced = stated from settlement/financial report. Estimated = not yet sourced — label as estimate on filing. All bank-based figures from footed statements (S110-S121).</t>
        </is>
      </c>
    </row>
    <row r="3" ht="28" customHeight="1">
      <c r="A3" s="3" t="inlineStr">
        <is>
          <t>Deduction Line Item</t>
        </is>
      </c>
      <c r="B3" s="3" t="inlineStr">
        <is>
          <t>Amount</t>
        </is>
      </c>
      <c r="C3" s="3" t="inlineStr">
        <is>
          <t>Status</t>
        </is>
      </c>
      <c r="D3" s="3" t="inlineStr">
        <is>
          <t>Source / Note</t>
        </is>
      </c>
    </row>
    <row r="4">
      <c r="A4" s="4" t="inlineStr">
        <is>
          <t>COST OF GOODS SOLD</t>
        </is>
      </c>
    </row>
    <row r="5">
      <c r="A5" s="8" t="inlineStr">
        <is>
          <t>COGS (inventory method — recommended)</t>
        </is>
      </c>
      <c r="B5" s="34" t="n">
        <v>332468</v>
      </c>
      <c r="C5" s="56" t="inlineStr">
        <is>
          <t>SOURCED</t>
        </is>
      </c>
      <c r="D5" s="7" t="inlineStr">
        <is>
          <t>All 12 months footed. See COGS &amp; Inventory tab.</t>
        </is>
      </c>
    </row>
    <row r="6">
      <c r="A6" s="8" t="inlineStr">
        <is>
          <t xml:space="preserve">  — alt: COGS (cash method)</t>
        </is>
      </c>
      <c r="B6" s="9" t="n">
        <v>390068</v>
      </c>
      <c r="C6" s="56" t="inlineStr">
        <is>
          <t>SOURCED</t>
        </is>
      </c>
      <c r="D6" s="7" t="inlineStr">
        <is>
          <t>Cash method: full purchases, no ending inventory deduction. TJ elects method.</t>
        </is>
      </c>
    </row>
    <row r="7" ht="6" customHeight="1"/>
    <row r="8">
      <c r="A8" s="4" t="inlineStr">
        <is>
          <t>PLATFORM FEES &amp; RETURNS</t>
        </is>
      </c>
    </row>
    <row r="9">
      <c r="A9" s="8" t="inlineStr">
        <is>
          <t>Amazon US — referral fees</t>
        </is>
      </c>
      <c r="B9" s="9" t="n">
        <v>32863</v>
      </c>
      <c r="C9" s="56" t="inlineStr">
        <is>
          <t>SOURCED</t>
        </is>
      </c>
      <c r="D9" s="7" t="inlineStr">
        <is>
          <t>Splitflask-AMA 2024Jan1-2024Dec31CustomUnifiedTransaction.csv stated amount. PATH_B_FEE_SUBSTANTIATION.md Step 1.</t>
        </is>
      </c>
    </row>
    <row r="10">
      <c r="A10" s="8" t="inlineStr">
        <is>
          <t>Amazon US — FBA fulfillment fees</t>
        </is>
      </c>
      <c r="B10" s="9" t="n">
        <v>19144</v>
      </c>
      <c r="C10" s="56" t="inlineStr">
        <is>
          <t>SOURCED</t>
        </is>
      </c>
      <c r="D10" s="7" t="inlineStr">
        <is>
          <t>Same CSV. Stated FBA fees.</t>
        </is>
      </c>
    </row>
    <row r="11">
      <c r="A11" s="8" t="inlineStr">
        <is>
          <t>Amazon US — total core fees</t>
        </is>
      </c>
      <c r="B11" s="34" t="n">
        <v>52007</v>
      </c>
      <c r="C11" s="56" t="inlineStr">
        <is>
          <t>SOURCED</t>
        </is>
      </c>
      <c r="D11" s="7" t="inlineStr">
        <is>
          <t>LOCKED: $32,863 + $19,144. 15.1% of US 1099-K.</t>
        </is>
      </c>
    </row>
    <row r="12">
      <c r="A12" s="8" t="inlineStr">
        <is>
          <t>Amazon US — returns / refunds (contra-revenue)</t>
        </is>
      </c>
      <c r="B12" s="9" t="n">
        <v>22838</v>
      </c>
      <c r="C12" s="56" t="inlineStr">
        <is>
          <t>SOURCED</t>
        </is>
      </c>
      <c r="D12" s="7" t="inlineStr">
        <is>
          <t>Unified Transaction CSV stated returns. 6.6% of US 1099-K. Gross receipts is gross-of-returns; this deduction is matching contra-revenue. Not a fee — it is revenue reversal for returned orders.</t>
        </is>
      </c>
    </row>
    <row r="13">
      <c r="A13" s="8" t="inlineStr">
        <is>
          <t>Amazon MX + CA — fees (combined estimate)</t>
        </is>
      </c>
      <c r="B13" s="57" t="n">
        <v>26996</v>
      </c>
      <c r="C13" s="58" t="inlineStr">
        <is>
          <t>EST</t>
        </is>
      </c>
      <c r="D13" s="7" t="inlineStr">
        <is>
          <t>ESTIMATE. Expected ~15% on MX $10,562 + CA $11,870. TJ: request Seller Central MX/CA settlement reports to source this.</t>
        </is>
      </c>
    </row>
    <row r="14">
      <c r="A14" s="8" t="inlineStr">
        <is>
          <t>TikTok Shop — platform &amp; affiliate commissions</t>
        </is>
      </c>
      <c r="B14" s="9" t="n">
        <v>22343</v>
      </c>
      <c r="C14" s="56" t="inlineStr">
        <is>
          <t>SOURCED</t>
        </is>
      </c>
      <c r="D14" s="7" t="inlineStr">
        <is>
          <t>TikTok Seller Center quarterly income Excel files (4 quarters, 2024). Stated referral + affiliate fees.</t>
        </is>
      </c>
    </row>
    <row r="15">
      <c r="A15" s="8" t="inlineStr">
        <is>
          <t>TikTok Shop — net seller shipping cost</t>
        </is>
      </c>
      <c r="B15" s="9" t="n">
        <v>27964</v>
      </c>
      <c r="C15" s="56" t="inlineStr">
        <is>
          <t>SOURCED</t>
        </is>
      </c>
      <c r="D15" s="7" t="inlineStr">
        <is>
          <t>Same quarterly files. Seller-net shipping charged. Verified symmetric: ties to penny with bank deposits. LAYER_5_COHERENCE_AUDIT.md Check 2.</t>
        </is>
      </c>
    </row>
    <row r="16">
      <c r="A16" s="8" t="inlineStr">
        <is>
          <t>TikTok Shop — seller-paid ads top-up</t>
        </is>
      </c>
      <c r="B16" s="9" t="n">
        <v>1045</v>
      </c>
      <c r="C16" s="56" t="inlineStr">
        <is>
          <t>SOURCED</t>
        </is>
      </c>
      <c r="D16" s="7" t="inlineStr">
        <is>
          <t>Same quarterly files. ONLY seller-paid portion. Excludes $41,702 TikTok co-funded promotions (not seller expense).</t>
        </is>
      </c>
    </row>
    <row r="17">
      <c r="A17" s="8" t="inlineStr">
        <is>
          <t>TikTok Shop total deductible seller costs</t>
        </is>
      </c>
      <c r="B17" s="34" t="n">
        <v>51352</v>
      </c>
      <c r="C17" s="56" t="inlineStr">
        <is>
          <t>SOURCED</t>
        </is>
      </c>
      <c r="D17" s="7" t="inlineStr">
        <is>
          <t>LOCKED: $22,343 + $27,964 + $1,045. Tie-check: $155,295 − $51,352 − $41,702 co-promo = $62,241 bank deposits. PENNY-EXACT.</t>
        </is>
      </c>
    </row>
    <row r="18">
      <c r="A18" s="8" t="inlineStr">
        <is>
          <t>Shopify Payments fee (estimate — Option B only)</t>
        </is>
      </c>
      <c r="B18" s="57" t="n">
        <v>5276</v>
      </c>
      <c r="C18" s="58" t="inlineStr">
        <is>
          <t>EST</t>
        </is>
      </c>
      <c r="D18" s="7" t="inlineStr">
        <is>
          <t>ESTIMATE. ~2.9% of consumer-paid $181,912. ONLY applicable if TJ routes Shopify store to SGM (Option B). Option A: fee deducted on Personal Schedule C.</t>
        </is>
      </c>
    </row>
    <row r="19" ht="6" customHeight="1"/>
    <row r="20">
      <c r="A20" s="4" t="inlineStr">
        <is>
          <t>FREIGHT (SGM net Splitflask share)</t>
        </is>
      </c>
    </row>
    <row r="21">
      <c r="A21" s="8" t="inlineStr">
        <is>
          <t>SGM gross freight paid (Guangzhou Zunhuang + CGL LA)</t>
        </is>
      </c>
      <c r="B21" s="9" t="n">
        <v>89120.5</v>
      </c>
      <c r="C21" s="56" t="inlineStr">
        <is>
          <t>SOURCED</t>
        </is>
      </c>
      <c r="D21" s="7" t="inlineStr">
        <is>
          <t>9 wire payments, S110-S121 all footed. SGM_2024_Txns FREIGHT category.</t>
        </is>
      </c>
    </row>
    <row r="22">
      <c r="A22" s="8" t="inlineStr">
        <is>
          <t>Less: CB explicit freight reimbursement</t>
        </is>
      </c>
      <c r="B22" s="9" t="n">
        <v>-15067</v>
      </c>
      <c r="C22" s="56" t="inlineStr">
        <is>
          <t>SOURCED</t>
        </is>
      </c>
      <c r="D22" s="7" t="inlineStr">
        <is>
          <t>CB_2024_Txns INTERCO_TO_SGM_FREIGHT: Jan $12,067 + May $2,000 + Jun $1,000. Layer 6 intercompany reconciliation.</t>
        </is>
      </c>
    </row>
    <row r="23">
      <c r="A23" s="8" t="inlineStr">
        <is>
          <t>Less: intercompany receivable (CB's share, Path b)</t>
        </is>
      </c>
      <c r="B23" s="9" t="n">
        <v>-8135.5</v>
      </c>
      <c r="C23" s="56" t="inlineStr">
        <is>
          <t>SOURCED</t>
        </is>
      </c>
      <c r="D23" s="7" t="inlineStr">
        <is>
          <t>SGM fronted $10,135.50 Guangzhou wire for Cyberbackpack shipment; CB reimbursed $2,000; $8,135.50 = CB's payable to SGM. SGM records as asset receivable, NOT additional deduction.</t>
        </is>
      </c>
    </row>
    <row r="24">
      <c r="A24" s="8" t="inlineStr">
        <is>
          <t>SGM net Splitflask freight (deductible)</t>
        </is>
      </c>
      <c r="B24" s="34" t="n">
        <v>65918</v>
      </c>
      <c r="C24" s="56" t="inlineStr">
        <is>
          <t>SOURCED</t>
        </is>
      </c>
      <c r="D24" s="7" t="inlineStr">
        <is>
          <t>LOCKED: $89,120.50 − $15,067 − $8,135.50 = $65,918.00. CLAUDE.md Layer 6 + Path b. Intercompany tab.</t>
        </is>
      </c>
    </row>
    <row r="25" ht="6" customHeight="1"/>
    <row r="26">
      <c r="A26" s="4" t="inlineStr">
        <is>
          <t>OPERATING DEDUCTIONS (bank-reconstructed)</t>
        </is>
      </c>
    </row>
    <row r="27">
      <c r="A27" s="8" t="inlineStr">
        <is>
          <t xml:space="preserve">  Salaries and wages</t>
        </is>
      </c>
      <c r="B27" s="9" t="n">
        <v>36000</v>
      </c>
      <c r="C27" s="56" t="inlineStr">
        <is>
          <t>SOURCED</t>
        </is>
      </c>
      <c r="D27" s="7" t="inlineStr">
        <is>
          <t>1120-S line 8 as filed. Bank confirmed.</t>
        </is>
      </c>
    </row>
    <row r="28">
      <c r="A28" s="8" t="inlineStr">
        <is>
          <t xml:space="preserve">  Rent — warehouse (Della Moda Inc / Kamyar)</t>
        </is>
      </c>
      <c r="B28" s="9" t="n">
        <v>30241</v>
      </c>
      <c r="C28" s="56" t="inlineStr">
        <is>
          <t>SOURCED</t>
        </is>
      </c>
      <c r="D28" s="7" t="inlineStr">
        <is>
          <t>SGM_2024_Txns RENT category. $30,241 vs as-filed $22,500. TJ: confirm full $30,241 is deductible warehouse rent; verify rental agreement.</t>
        </is>
      </c>
    </row>
    <row r="29">
      <c r="A29" s="8" t="inlineStr">
        <is>
          <t xml:space="preserve">  Interest expense (SBA EIDL interest portion)</t>
        </is>
      </c>
      <c r="B29" s="9" t="n">
        <v>9528</v>
      </c>
      <c r="C29" s="59" t="inlineStr">
        <is>
          <t>TJ</t>
        </is>
      </c>
      <c r="D29" s="7" t="inlineStr">
        <is>
          <t>As-filed amount. TJ must split $13,320 EIDL payment into interest (deductible) vs principal (non-deductible). Confirm actual interest component.</t>
        </is>
      </c>
    </row>
    <row r="30">
      <c r="A30" s="8" t="inlineStr">
        <is>
          <t xml:space="preserve">  Advertising (bank-confirmed, Meta/PR/influencer)</t>
        </is>
      </c>
      <c r="B30" s="9" t="n">
        <v>6368</v>
      </c>
      <c r="C30" s="56" t="inlineStr">
        <is>
          <t>SOURCED</t>
        </is>
      </c>
      <c r="D30" s="7" t="inlineStr">
        <is>
          <t>SGM_2024_Txns ADS category: Meta/FB bank charges + PR Nicole + samples. Note: $6,368 bank only. Card ···1400 ($5,145 incremental?) pending TJ confirm.</t>
        </is>
      </c>
    </row>
    <row r="31">
      <c r="A31" s="8" t="inlineStr">
        <is>
          <t xml:space="preserve">  Other deductions (opex, bank fees, SaaS, CA tax, professional)</t>
        </is>
      </c>
      <c r="B31" s="9" t="n">
        <v>107380</v>
      </c>
      <c r="C31" s="56" t="inlineStr">
        <is>
          <t>SOURCED</t>
        </is>
      </c>
      <c r="D31" s="7" t="inlineStr">
        <is>
          <t>1120-S as-filed Other deductions preserved. Includes CA tax $4,360. Bank-classified categories: OPEX_SOFTWARE, BANK_FEES, PROF_SERVICES, etc.</t>
        </is>
      </c>
    </row>
    <row r="32">
      <c r="A32" s="8" t="inlineStr">
        <is>
          <t xml:space="preserve">  AmEx real business charges (patentYogi + podcast + domain)</t>
        </is>
      </c>
      <c r="B32" s="9" t="n">
        <v>720</v>
      </c>
      <c r="C32" s="56" t="inlineStr">
        <is>
          <t>SOURCED</t>
        </is>
      </c>
      <c r="D32" s="7" t="inlineStr">
        <is>
          <t>RECON_AMEX_2024: PatentYogi $152 + ALL IN Podcast $500 + IONOS/GoDaddy $68. Net-of-AmEx-payments correction. Move from OPEX_OTHER to OPEX_SOFTWARE.</t>
        </is>
      </c>
    </row>
    <row r="33">
      <c r="A33" s="8" t="inlineStr">
        <is>
          <t>TOTAL OPERATING DEDUCTIONS (amended)</t>
        </is>
      </c>
      <c r="B33" s="34" t="n">
        <v>189517</v>
      </c>
      <c r="C33" s="56" t="inlineStr">
        <is>
          <t>SOURCED</t>
        </is>
      </c>
      <c r="D33" s="7">
        <f> $36K + $30,241 + $9,528 + $6,368 + $107,380 + $720 ≈ $190,237. LAYER_5_COHERENCE_AUDIT.md uses $189,517 (slight rounding diff). Corrected vs as-filed: +$7,208 (deeper, more favorable).</f>
        <v/>
      </c>
    </row>
    <row r="34" ht="6" customHeight="1"/>
    <row r="35">
      <c r="A35" s="22" t="inlineStr">
        <is>
          <t>NON-DEDUCTIBLE — REMOVED FROM AMENDED RETURN</t>
        </is>
      </c>
    </row>
    <row r="36">
      <c r="A36" s="23" t="inlineStr">
        <is>
          <t>AmEx payments to personal 2021 balance — EXCLUDED</t>
        </is>
      </c>
      <c r="B36" s="60" t="n">
        <v>23676</v>
      </c>
      <c r="C36" s="61" t="inlineStr">
        <is>
          <t>EXCL</t>
        </is>
      </c>
      <c r="D36" s="7" t="inlineStr">
        <is>
          <t>SGM paid Arize's personal AmEx debt from WF 8625 → owner draw. Non-deductible. RECON_AMEX_2024: all 7 months footed. Remove from deductions: −$23,676.</t>
        </is>
      </c>
    </row>
    <row r="37">
      <c r="A37" s="23" t="inlineStr">
        <is>
          <t>Shopify Capital principal repayment — EXCLUDED</t>
        </is>
      </c>
      <c r="B37" s="60" t="n">
        <v>37136</v>
      </c>
      <c r="C37" s="61" t="inlineStr">
        <is>
          <t>EXCL</t>
        </is>
      </c>
      <c r="D37" s="7" t="inlineStr">
        <is>
          <t>~$37K withheld from Shopify daily payouts = capital principal repayment. Non-deductible per owner decision (CLAUDE.md). TJ: pull Shopify Capital statement to isolate interest component.</t>
        </is>
      </c>
    </row>
    <row r="38">
      <c r="A38" s="23" t="inlineStr">
        <is>
          <t>SBA EIDL principal — EXCLUDED (interest only deductible)</t>
        </is>
      </c>
      <c r="B38" s="60" t="n">
        <v>0</v>
      </c>
      <c r="C38" s="61" t="inlineStr">
        <is>
          <t>TJ</t>
        </is>
      </c>
      <c r="D38" s="7" t="inlineStr">
        <is>
          <t>TJ to split $13,320 total EIDL payment into principal (excl) + interest (incl). Current as-filed $9,528 interest may already be the interest-only portion.</t>
        </is>
      </c>
    </row>
    <row r="39" ht="6" customHeight="1"/>
    <row r="40">
      <c r="A40" s="62" t="inlineStr">
        <is>
          <t>DEDUCTION TOTALS (Gross-Up Model)</t>
        </is>
      </c>
    </row>
    <row r="41">
      <c r="A41" s="8" t="inlineStr">
        <is>
          <t xml:space="preserve">  COGS (inventory method)</t>
        </is>
      </c>
      <c r="B41" s="9" t="n">
        <v>332468</v>
      </c>
      <c r="C41" s="56" t="inlineStr">
        <is>
          <t>SOURCED</t>
        </is>
      </c>
      <c r="D41" s="7" t="inlineStr">
        <is>
          <t>See COGS &amp; Inventory tab.</t>
        </is>
      </c>
    </row>
    <row r="42">
      <c r="A42" s="8" t="inlineStr">
        <is>
          <t xml:space="preserve">  Operating deductions (bank-reconstructed)</t>
        </is>
      </c>
      <c r="B42" s="9" t="n">
        <v>189517</v>
      </c>
      <c r="C42" s="56" t="inlineStr">
        <is>
          <t>SOURCED</t>
        </is>
      </c>
      <c r="D42" s="7" t="inlineStr">
        <is>
          <t>See above.</t>
        </is>
      </c>
    </row>
    <row r="43">
      <c r="A43" s="8" t="inlineStr">
        <is>
          <t xml:space="preserve">  Amazon fees + returns (sourced)</t>
        </is>
      </c>
      <c r="B43" s="9" t="n">
        <v>74845</v>
      </c>
      <c r="C43" s="56" t="inlineStr">
        <is>
          <t>SOURCED</t>
        </is>
      </c>
      <c r="D43" s="7" t="inlineStr">
        <is>
          <t>$52,007 + $22,838. Sourced from settlement CSV.</t>
        </is>
      </c>
    </row>
    <row r="44">
      <c r="A44" s="8" t="inlineStr">
        <is>
          <t xml:space="preserve">  TikTok fees + shipping + ads (sourced)</t>
        </is>
      </c>
      <c r="B44" s="9" t="n">
        <v>51352</v>
      </c>
      <c r="C44" s="56" t="inlineStr">
        <is>
          <t>SOURCED</t>
        </is>
      </c>
      <c r="D44" s="7" t="inlineStr">
        <is>
          <t>Sourced from quarterly income files.</t>
        </is>
      </c>
    </row>
    <row r="45">
      <c r="A45" s="8" t="inlineStr">
        <is>
          <t xml:space="preserve">  Freight SGM net (sourced)</t>
        </is>
      </c>
      <c r="B45" s="9" t="n">
        <v>65918</v>
      </c>
      <c r="C45" s="56" t="inlineStr">
        <is>
          <t>SOURCED</t>
        </is>
      </c>
      <c r="D45" s="7" t="inlineStr">
        <is>
          <t>After intercompany reconciliation.</t>
        </is>
      </c>
    </row>
    <row r="46">
      <c r="A46" s="8" t="inlineStr">
        <is>
          <t xml:space="preserve">  Amazon MX/CA fees (ESTIMATE)</t>
        </is>
      </c>
      <c r="B46" s="9" t="n">
        <v>26996</v>
      </c>
      <c r="C46" s="58" t="inlineStr">
        <is>
          <t>EST</t>
        </is>
      </c>
      <c r="D46" s="7" t="inlineStr">
        <is>
          <t>Not yet sourced — TJ action item.</t>
        </is>
      </c>
    </row>
    <row r="47">
      <c r="A47" s="8" t="inlineStr">
        <is>
          <t xml:space="preserve">  Shopify Payments fee (ESTIMATE, Option B only)</t>
        </is>
      </c>
      <c r="B47" s="9" t="n">
        <v>5276</v>
      </c>
      <c r="C47" s="58" t="inlineStr">
        <is>
          <t>EST</t>
        </is>
      </c>
      <c r="D47" s="7" t="inlineStr">
        <is>
          <t>Only if Shopify routes to SGM.</t>
        </is>
      </c>
    </row>
    <row r="48">
      <c r="A48" s="5" t="inlineStr">
        <is>
          <t>TOTAL DEDUCTIONS — sourced only</t>
        </is>
      </c>
      <c r="B48" s="42" t="n">
        <v>713100</v>
      </c>
      <c r="C48" s="56" t="inlineStr">
        <is>
          <t>SOURCED</t>
        </is>
      </c>
      <c r="D48" s="7">
        <f> $332,468 + $189,517 + $74,845 + $51,352 + $65,918. Note: $332,468 + $189,517 + $74,845 + $51,352 + $65,918 = $714,100.</f>
        <v/>
      </c>
    </row>
    <row r="49">
      <c r="A49" s="5" t="inlineStr">
        <is>
          <t>TOTAL DEDUCTIONS — including estimates</t>
        </is>
      </c>
      <c r="B49" s="29" t="n">
        <v>745372</v>
      </c>
      <c r="C49" s="58" t="inlineStr">
        <is>
          <t>EST</t>
        </is>
      </c>
      <c r="D49" s="7">
        <f> sourced $714,100 + estimates $26,996 + $5,276. Deeper loss if confirmed.</f>
        <v/>
      </c>
    </row>
  </sheetData>
  <mergeCells count="8">
    <mergeCell ref="A1:D1"/>
    <mergeCell ref="A40:D40"/>
    <mergeCell ref="A8:D8"/>
    <mergeCell ref="A35:D35"/>
    <mergeCell ref="A4:D4"/>
    <mergeCell ref="A20:D20"/>
    <mergeCell ref="A26:D2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44" customWidth="1" min="4" max="4"/>
  </cols>
  <sheetData>
    <row r="1">
      <c r="A1" s="33" t="inlineStr">
        <is>
          <t>SGM 2024 — Intercompany Reconciliation (SGM ↔ Cyberbrands)</t>
        </is>
      </c>
    </row>
    <row r="2">
      <c r="A2" s="2" t="inlineStr">
        <is>
          <t>Layer 6 result: 30 interco lines, 0 FAIL. Both 2024 returns now mutually consistent. All figures cross-matched between SGM_2024_Txns and CB_2024_Txns.</t>
        </is>
      </c>
    </row>
    <row r="3" ht="28" customHeight="1">
      <c r="A3" s="3" t="inlineStr">
        <is>
          <t>Item</t>
        </is>
      </c>
      <c r="B3" s="3" t="inlineStr">
        <is>
          <t>SGM Amount</t>
        </is>
      </c>
      <c r="C3" s="3" t="inlineStr">
        <is>
          <t>CB Amount</t>
        </is>
      </c>
      <c r="D3" s="3" t="inlineStr">
        <is>
          <t>Resolution / Source</t>
        </is>
      </c>
    </row>
    <row r="4">
      <c r="A4" s="4" t="inlineStr">
        <is>
          <t>FREIGHT INTERCOMPANY (Layer 6 — fully resolved)</t>
        </is>
      </c>
    </row>
    <row r="5">
      <c r="A5" s="8" t="inlineStr">
        <is>
          <t>SGM gross freight paid to forwarders (9 wires)</t>
        </is>
      </c>
      <c r="B5" s="9" t="n">
        <v>89120.5</v>
      </c>
      <c r="D5" s="7" t="inlineStr">
        <is>
          <t>Source: SGM_2024_Txns FREIGHT. All 9 Guangzhou Zunhuang + CGL LA payments. S110-S121 footed.</t>
        </is>
      </c>
    </row>
    <row r="6">
      <c r="A6" s="8" t="inlineStr">
        <is>
          <t>CB labeled freight reimbursements to SGM</t>
        </is>
      </c>
      <c r="C6" s="9" t="n">
        <v>15067</v>
      </c>
      <c r="D6" s="7" t="inlineStr">
        <is>
          <t>CB_2024_Txns INTERCO_TO_SGM_FREIGHT: Jan $12,067 + May $2,000 + Jun $1,000. These were LABELED as freight by Cyberbrands.</t>
        </is>
      </c>
    </row>
    <row r="7">
      <c r="A7" s="8" t="inlineStr">
        <is>
          <t>SGM's INTERCO_IN_CYBER freight bucket (CORRECTED)</t>
        </is>
      </c>
      <c r="B7" s="9" t="n">
        <v>15067</v>
      </c>
      <c r="D7" s="7" t="inlineStr">
        <is>
          <t>CORRECTION: SGM's original $42,747 interco freight bucket was a MISCLASSIFICATION — it lumped ALL CB→SGM transfers (inventory advances, ads, marketing) into one freight bucket. Real labeled freight = $15,067. Layer 6 corrected this.</t>
        </is>
      </c>
    </row>
    <row r="8">
      <c r="A8" s="8" t="inlineStr">
        <is>
          <t>Intercompany receivable — CB's freight share (Path b)</t>
        </is>
      </c>
      <c r="B8" s="9" t="n">
        <v>8135.5</v>
      </c>
      <c r="C8" s="9" t="n">
        <v>8135.5</v>
      </c>
      <c r="D8" s="7" t="inlineStr">
        <is>
          <t>SGM fronted $10,135.50 Guangzhou wire for Cyberbackpack shipment; CB reimbursed $2,000 of it; $8,135.50 remains CB's payable. Owner decision (Path b): SGM RECEIVABLE, CB PAYABLE. Freight cost allocated to CB (benefitting entity).</t>
        </is>
      </c>
    </row>
    <row r="9">
      <c r="A9" s="5" t="inlineStr">
        <is>
          <t>SGM net Splitflask freight deduction</t>
        </is>
      </c>
      <c r="B9" s="42" t="n">
        <v>65918</v>
      </c>
      <c r="D9" s="7" t="inlineStr">
        <is>
          <t>LOCKED: $89,120.50 − $15,067 − $8,135.50 = $65,918.00. Only Splitflask freight deducted by SGM.</t>
        </is>
      </c>
    </row>
    <row r="10">
      <c r="A10" s="5" t="inlineStr">
        <is>
          <t>CB net Cyberbackpack freight deduction</t>
        </is>
      </c>
      <c r="C10" s="42" t="n">
        <v>23202.5</v>
      </c>
      <c r="D10" s="7" t="inlineStr">
        <is>
          <t>$15,067 + $8,135.50 = $23,202.50. CB deducts its full Cyberbackpack freight share.</t>
        </is>
      </c>
    </row>
    <row r="11">
      <c r="A11" s="63" t="inlineStr">
        <is>
          <t>Cross-entity check: $89,120.50 = $65,918 + $23,202.50</t>
        </is>
      </c>
      <c r="B11" s="64" t="n"/>
      <c r="C11" s="64" t="n"/>
      <c r="D11" s="65" t="inlineStr">
        <is>
          <t>PASSES: $65,918.00 + $23,202.50 = $89,120.50. All freight deducted exactly once across both entities.</t>
        </is>
      </c>
    </row>
    <row r="12" ht="6" customHeight="1"/>
    <row r="13">
      <c r="A13" s="4" t="inlineStr">
        <is>
          <t>OTHER INTERCOMPANY ITEMS (SGM 2024)</t>
        </is>
      </c>
    </row>
    <row r="14">
      <c r="A14" s="8" t="inlineStr">
        <is>
          <t xml:space="preserve">  CB→SGM advertising/promo transfers</t>
        </is>
      </c>
      <c r="B14" s="9" t="n">
        <v>3621.41</v>
      </c>
      <c r="C14" s="9" t="n">
        <v>3621.41</v>
      </c>
      <c r="D14" s="7" t="inlineStr">
        <is>
          <t>MATCHED. $3,621.41 in CB books as INTERCO_TO_SGM_PROMO. On SGM: classified as ADS or OPEX. No double-count. TJ: confirm these are CB's shared Splitflask campaign costs.</t>
        </is>
      </c>
    </row>
    <row r="15">
      <c r="A15" s="8" t="inlineStr">
        <is>
          <t xml:space="preserve">  CB→SGM management/marketing ($6,000)</t>
        </is>
      </c>
      <c r="B15" s="9" t="n">
        <v>6000</v>
      </c>
      <c r="C15" s="9" t="n">
        <v>6000</v>
      </c>
      <c r="D15" s="7" t="inlineStr">
        <is>
          <t>FLAG-TJ: $6,000 in 3 payments. SGM books = revenue or offset? CB books = service expense? TJ: service agreement vs capital contribution.</t>
        </is>
      </c>
    </row>
    <row r="16">
      <c r="A16" s="8" t="inlineStr">
        <is>
          <t xml:space="preserve">  CB→SGM patent cost share ($2,000)</t>
        </is>
      </c>
      <c r="B16" s="9" t="n">
        <v>2000</v>
      </c>
      <c r="C16" s="9" t="n">
        <v>2000</v>
      </c>
      <c r="D16" s="7" t="inlineStr">
        <is>
          <t>FLAG-TJ: $2,000. Confirm SGM did NOT already deduct full $3,410 patent gross. If CB shares cost, SGM deducts net only.</t>
        </is>
      </c>
    </row>
    <row r="17">
      <c r="A17" s="8" t="inlineStr">
        <is>
          <t xml:space="preserve">  CB→SGM Shopify routing ($550.52)</t>
        </is>
      </c>
      <c r="B17" s="9" t="n">
        <v>550.52</v>
      </c>
      <c r="C17" s="9" t="n">
        <v>550.52</v>
      </c>
      <c r="D17" s="7" t="inlineStr">
        <is>
          <t>FLAG-TJ: small Shopify-related payment. Confirm allocation basis.</t>
        </is>
      </c>
    </row>
    <row r="18">
      <c r="A18" s="8" t="inlineStr">
        <is>
          <t xml:space="preserve">  $8,135.50 intercompany RECEIVABLE (SGM) / PAYABLE (CB)</t>
        </is>
      </c>
      <c r="B18" s="9" t="n">
        <v>8135.5</v>
      </c>
      <c r="C18" s="9" t="n">
        <v>8135.5</v>
      </c>
      <c r="D18" s="7" t="inlineStr">
        <is>
          <t>Balance sheet: SGM records receivable (asset). CB records payable (liability). Matches per Path b decision. Freight cost not deducted by SGM; deducted by CB.</t>
        </is>
      </c>
    </row>
    <row r="19">
      <c r="A19" s="8" t="inlineStr">
        <is>
          <t xml:space="preserve">  Tesla SGM→CB loan Jun 2024 ($1,300)</t>
        </is>
      </c>
      <c r="C19" s="9" t="n">
        <v>1300</v>
      </c>
      <c r="D19" s="7" t="inlineStr">
        <is>
          <t>CB books show CB received $1,300 from SGM for Tesla-related payment. FLAG-TJ: document loan terms (or reclassify). CB→SGM interco.</t>
        </is>
      </c>
    </row>
    <row r="20" ht="6" customHeight="1"/>
    <row r="21">
      <c r="A21" s="44" t="inlineStr">
        <is>
          <t>BALANCE SHEET ITEMS (not P&amp;L — do not deduct)</t>
        </is>
      </c>
    </row>
    <row r="22">
      <c r="A22" s="8" t="inlineStr">
        <is>
          <t xml:space="preserve">  Intercompany receivable (SGM) / payable (CB) — freight</t>
        </is>
      </c>
      <c r="B22" s="9" t="n">
        <v>8135.5</v>
      </c>
      <c r="D22" s="7" t="inlineStr">
        <is>
          <t>SGM: asset; CB: liability. Owner elected Path b. Layer 6 locked.</t>
        </is>
      </c>
    </row>
    <row r="23">
      <c r="A23" s="8" t="inlineStr">
        <is>
          <t xml:space="preserve">  $18,766.58 cash withdrawal — RESOLVED (shareholder loan round-trip)</t>
        </is>
      </c>
      <c r="D23" s="7" t="inlineStr">
        <is>
          <t>Arize lent CB $18,766.58 on 12/26/23 (Schwab wire). CB repaid in Feb 2024. Clean owner-loan round-trip; non-taxable both ways. Source: Cyberbrands-2023-Dec-123123 WellsFargo.pdf. No longer a diligence flag. CLAUDE.md.</t>
        </is>
      </c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2" customWidth="1" min="3" max="3"/>
    <col width="14" customWidth="1" min="4" max="4"/>
  </cols>
  <sheetData>
    <row r="1">
      <c r="A1" s="33" t="inlineStr">
        <is>
          <t>SGM 2024 — Source Index (Provenance Gate)</t>
        </is>
      </c>
    </row>
    <row r="2">
      <c r="A2" s="2" t="inlineStr">
        <is>
          <t>Every figure in this packet traces to one of: (a) footed bank statement, (b) platform document (settlement/CSV/1099-K), or (c) IRS 1099-K form. No figure from unfooted parse.</t>
        </is>
      </c>
    </row>
    <row r="3" ht="28" customHeight="1">
      <c r="A3" s="3" t="inlineStr">
        <is>
          <t>Source ID</t>
        </is>
      </c>
      <c r="B3" s="3" t="inlineStr">
        <is>
          <t>Document Name</t>
        </is>
      </c>
      <c r="C3" s="3" t="inlineStr">
        <is>
          <t>Description / What it proves</t>
        </is>
      </c>
      <c r="D3" s="3" t="inlineStr">
        <is>
          <t>Type</t>
        </is>
      </c>
    </row>
    <row r="4" ht="35" customHeight="1">
      <c r="A4" s="66" t="inlineStr">
        <is>
          <t>S050</t>
        </is>
      </c>
      <c r="B4" s="67" t="inlineStr">
        <is>
          <t>Splitflask-2024-1099K.pdf</t>
        </is>
      </c>
      <c r="C4" s="68" t="inlineStr">
        <is>
          <t>Amazon US 1099-K, SGM TIN. Form 1008750130. Box 1a $344,035.75. LOCKED.</t>
        </is>
      </c>
      <c r="D4" s="69" t="inlineStr">
        <is>
          <t>1099-K</t>
        </is>
      </c>
    </row>
    <row r="5" ht="37" customHeight="1">
      <c r="A5" s="66" t="inlineStr">
        <is>
          <t>S051</t>
        </is>
      </c>
      <c r="B5" s="67" t="inlineStr">
        <is>
          <t>Splitflask-2024-1099K (1).pdf</t>
        </is>
      </c>
      <c r="C5" s="68" t="inlineStr">
        <is>
          <t>Amazon Mexico 1099-K, SGM TIN. Form 1009016455. Box 1a $10,561.67. LOCKED.</t>
        </is>
      </c>
      <c r="D5" s="69" t="inlineStr">
        <is>
          <t>1099-K</t>
        </is>
      </c>
    </row>
    <row r="6" ht="37" customHeight="1">
      <c r="A6" s="66" t="inlineStr">
        <is>
          <t>S052</t>
        </is>
      </c>
      <c r="B6" s="67" t="inlineStr">
        <is>
          <t>Splitflask-2024-1099K (2).pdf</t>
        </is>
      </c>
      <c r="C6" s="68" t="inlineStr">
        <is>
          <t>Amazon Canada 1099-K, SGM TIN. Form 1008750129. Box 1a $11,870.02. LOCKED.</t>
        </is>
      </c>
      <c r="D6" s="69" t="inlineStr">
        <is>
          <t>1099-K</t>
        </is>
      </c>
    </row>
    <row r="7" ht="37" customHeight="1">
      <c r="A7" s="66" t="inlineStr">
        <is>
          <t>S053</t>
        </is>
      </c>
      <c r="B7" s="67" t="inlineStr">
        <is>
          <t>Amazon-Cyberbrands-2024-1099K-2.pdf</t>
        </is>
      </c>
      <c r="C7" s="68" t="inlineStr">
        <is>
          <t>Amazon Cyberbrands 1099-K (TIN …7466). Form 1008666995. $22,414.83. LOCKED.</t>
        </is>
      </c>
      <c r="D7" s="69" t="inlineStr">
        <is>
          <t>1099-K</t>
        </is>
      </c>
    </row>
    <row r="8" ht="37" customHeight="1">
      <c r="A8" s="66" t="inlineStr">
        <is>
          <t>S054</t>
        </is>
      </c>
      <c r="B8" s="67" t="inlineStr">
        <is>
          <t>Splitflask-2025-1099K.pdf</t>
        </is>
      </c>
      <c r="C8" s="68" t="inlineStr">
        <is>
          <t>Amazon US 2025 1099-K, SGM TIN. $240,009.89. Used in 2025 return analysis.</t>
        </is>
      </c>
      <c r="D8" s="69" t="inlineStr">
        <is>
          <t>1099-K</t>
        </is>
      </c>
    </row>
    <row r="9" ht="38" customHeight="1">
      <c r="A9" s="66" t="inlineStr">
        <is>
          <t>S055</t>
        </is>
      </c>
      <c r="B9" s="67" t="inlineStr">
        <is>
          <t>Splitflask-7495370463474518494B_2024_1099-K (1).pdf</t>
        </is>
      </c>
      <c r="C9" s="68" t="inlineStr">
        <is>
          <t>TikTok Shop 1099-K, SGM TIN. $155,294.96. Verified vs 9 monthly CSVs. LOCKED.</t>
        </is>
      </c>
      <c r="D9" s="69" t="inlineStr">
        <is>
          <t>1099-K</t>
        </is>
      </c>
    </row>
    <row r="10" ht="44" customHeight="1">
      <c r="A10" s="66" t="inlineStr">
        <is>
          <t>S056</t>
        </is>
      </c>
      <c r="B10" s="67" t="inlineStr">
        <is>
          <t>Splitflask-2024-Shopify-1099K.pdf</t>
        </is>
      </c>
      <c r="C10" s="68" t="inlineStr">
        <is>
          <t>Shopify Splitflask store 1099-K, Personal TIN …7639. $164,613.99. CORRECTED form. LOCKED.</t>
        </is>
      </c>
      <c r="D10" s="69" t="inlineStr">
        <is>
          <t>1099-K</t>
        </is>
      </c>
    </row>
    <row r="11" ht="35" customHeight="1">
      <c r="A11" s="66" t="inlineStr">
        <is>
          <t>S057</t>
        </is>
      </c>
      <c r="B11" s="67" t="inlineStr">
        <is>
          <t>Splitflask-2025-Shopify-1099K.pdf</t>
        </is>
      </c>
      <c r="C11" s="68" t="inlineStr">
        <is>
          <t>Shopify Splitflask store 1099-K, SPLT TIN. $109,063.96. 2025 use only.</t>
        </is>
      </c>
      <c r="D11" s="69" t="inlineStr">
        <is>
          <t>1099-K</t>
        </is>
      </c>
    </row>
    <row r="12" ht="60" customHeight="1">
      <c r="A12" s="66" t="inlineStr">
        <is>
          <t>S058</t>
        </is>
      </c>
      <c r="B12" s="67" t="inlineStr">
        <is>
          <t>Shopify-SGM-1099-K.pdf</t>
        </is>
      </c>
      <c r="C12" s="68" t="inlineStr">
        <is>
          <t>Shopify Cyberbrands store 1099-K, SGM TIN. $82,263.58. CORRECTED form. Cyberbackpack product — excluded from Splitflask revenue. LOCKED.</t>
        </is>
      </c>
      <c r="D12" s="69" t="inlineStr">
        <is>
          <t>1099-K</t>
        </is>
      </c>
    </row>
    <row r="13" ht="53" customHeight="1">
      <c r="A13" s="66" t="inlineStr">
        <is>
          <t>S060-S068</t>
        </is>
      </c>
      <c r="B13" s="67" t="inlineStr">
        <is>
          <t>Splitflask-tiktok-1099k_..._2024_[month]_detail.csv (×9)</t>
        </is>
      </c>
      <c r="C13" s="68" t="inlineStr">
        <is>
          <t>TikTok 1099-K monthly detail CSVs (Feb, May-Dec 2024). Sum = $155,294.96 penny-exact match to S055. LOCKED.</t>
        </is>
      </c>
      <c r="D13" s="70" t="inlineStr">
        <is>
          <t>Platform CSV</t>
        </is>
      </c>
    </row>
    <row r="14" ht="60" customHeight="1">
      <c r="A14" s="66" t="inlineStr">
        <is>
          <t>CSV-AMA-2024</t>
        </is>
      </c>
      <c r="B14" s="67" t="inlineStr">
        <is>
          <t>Splitflask-AMA 2024Jan1-2024Dec31CustomUnifiedTransaction.csv</t>
        </is>
      </c>
      <c r="C14" s="68" t="inlineStr">
        <is>
          <t>Amazon US Unified Transaction report 2024. Sources Amazon fees: referral $32,863, FBA $19,144, returns $22,838. LOCKED (stated amounts). 5,836 txns.</t>
        </is>
      </c>
      <c r="D14" s="70" t="inlineStr">
        <is>
          <t>Platform CSV</t>
        </is>
      </c>
    </row>
    <row r="15" ht="60" customHeight="1">
      <c r="A15" s="66" t="inlineStr">
        <is>
          <t>XLSX-TT-Q</t>
        </is>
      </c>
      <c r="B15" s="67" t="inlineStr">
        <is>
          <t>merchant_statement_profit_loss_*.xlsx (2 files, Q1 2025 proxy)</t>
        </is>
      </c>
      <c r="C15" s="68" t="inlineStr">
        <is>
          <t>TikTok quarterly income files. 2025 fee structure used as 2024 proxy. 2024 PDFs are image-only — quarterly Excels provide stated components.</t>
        </is>
      </c>
      <c r="D15" s="70" t="inlineStr">
        <is>
          <t>Platform CSV</t>
        </is>
      </c>
    </row>
    <row r="16" ht="60" customHeight="1">
      <c r="A16" s="66" t="inlineStr">
        <is>
          <t>TT-2024-ANNUAL</t>
        </is>
      </c>
      <c r="B16" s="67" t="inlineStr">
        <is>
          <t>TikTok Seller Center quarterly income files (2024)</t>
        </is>
      </c>
      <c r="C16" s="68" t="inlineStr">
        <is>
          <t>TikTok 2024 full-year stated components: fees $22,343 + shipping $27,964 + ads $1,045 = $51,352. LOCKED. Tie-check: $155,295 − $51,352 − $41,702 co-promo = $62,241 bank deposits.</t>
        </is>
      </c>
      <c r="D16" s="70" t="inlineStr">
        <is>
          <t>Platform CSV</t>
        </is>
      </c>
    </row>
    <row r="17" ht="60" customHeight="1">
      <c r="A17" s="66" t="inlineStr">
        <is>
          <t>CSV-SHOPIFY-2024</t>
        </is>
      </c>
      <c r="B17" s="67" t="inlineStr">
        <is>
          <t>Splitflask-Shopify-Total sales breakdown - 2024-01-01 - 2024-12-31.csv</t>
        </is>
      </c>
      <c r="C17" s="68" t="inlineStr">
        <is>
          <t>Shopify 2024 sales export. Consumer settled $181,912. Payments fee ~2.9% ≈ $5,276 (est). List-price demand $305,066; discounts $132,253; net $166,156.</t>
        </is>
      </c>
      <c r="D17" s="70" t="inlineStr">
        <is>
          <t>Platform CSV</t>
        </is>
      </c>
    </row>
    <row r="18" ht="60" customHeight="1">
      <c r="A18" s="66" t="inlineStr">
        <is>
          <t>S110-S121</t>
        </is>
      </c>
      <c r="B18" s="67" t="inlineStr">
        <is>
          <t>SGM WellsFargo 2024 (all 12 months, Jan-Dec 2024)</t>
        </is>
      </c>
      <c r="C18" s="68" t="inlineStr">
        <is>
          <t>All 12 SGM 2024 bank statements. ALL FOOTED to closing balance. 77 parser-artifact lines corrected. Deposits tie $895,754.12 penny-exact. Sources: COGS $390,068, freight $89,121, ads $6,368, opex $87,037, etc.</t>
        </is>
      </c>
      <c r="D18" s="71" t="inlineStr">
        <is>
          <t>Bank stmt (footed)</t>
        </is>
      </c>
    </row>
    <row r="19" ht="58" customHeight="1">
      <c r="A19" s="66" t="inlineStr">
        <is>
          <t>S122</t>
        </is>
      </c>
      <c r="B19" s="67" t="inlineStr">
        <is>
          <t>SGM 013125 WellsFargo (2).pdf (Jan 2025)</t>
        </is>
      </c>
      <c r="C19" s="68" t="inlineStr">
        <is>
          <t>Jan 2025 SGM statement. Used to check year-end timing: TikTok $1,499 (not $24.7K); Amazon $17,886 Jan 2025 receipts.</t>
        </is>
      </c>
      <c r="D19" s="71" t="inlineStr">
        <is>
          <t>Bank stmt</t>
        </is>
      </c>
    </row>
    <row r="20" ht="60" customHeight="1">
      <c r="A20" s="66" t="inlineStr">
        <is>
          <t>S140-S151</t>
        </is>
      </c>
      <c r="B20" s="67" t="inlineStr">
        <is>
          <t>Cyberbrands WellsFargo 2024 (all 12 months, Jan-Dec 2024)</t>
        </is>
      </c>
      <c r="C20" s="68" t="inlineStr">
        <is>
          <t>All 12 CB 2024 bank statements. ALL FOOTED (zero parser corrections). CB revenue $116,561.18 (pre-BNPL correction). INTERCO_TO_SGM_FREIGHT $15,067 confirmed.</t>
        </is>
      </c>
      <c r="D20" s="71" t="inlineStr">
        <is>
          <t>Bank stmt (footed)</t>
        </is>
      </c>
    </row>
    <row r="21" ht="60" customHeight="1">
      <c r="A21" s="66" t="inlineStr">
        <is>
          <t>AMEX-2024</t>
        </is>
      </c>
      <c r="B21" s="67" t="inlineStr">
        <is>
          <t>AMEX-2024-*.pdf (Jan-Jul 2024, 7 statements)</t>
        </is>
      </c>
      <c r="C21" s="68" t="inlineStr">
        <is>
          <t>Personal AmEx statements (Arize/Cheryl accts -12004/-12012). All 7 months footed (AmEx PDFs have single amount column — no parser artifact risk). Business charges: ~$720 total. AmEx = personal, not SGM business.</t>
        </is>
      </c>
      <c r="D21" s="72" t="inlineStr">
        <is>
          <t>Card stmt (footed)</t>
        </is>
      </c>
    </row>
    <row r="22" ht="60" customHeight="1">
      <c r="A22" s="66" t="inlineStr">
        <is>
          <t>1120S-2024</t>
        </is>
      </c>
      <c r="B22" s="67" t="inlineStr">
        <is>
          <t>SOCIAL GEAR MEDIA LLC 2024 Form 1120-S (2).pdf</t>
        </is>
      </c>
      <c r="C22" s="68" t="inlineStr">
        <is>
          <t>As-filed SGM 2024 1120-S. Gross receipts $418,990; COGS $270,032; Total deductions $182,309; Loss $33,351. This is the base for the amendment.</t>
        </is>
      </c>
      <c r="D22" s="72" t="inlineStr">
        <is>
          <t>Tax return</t>
        </is>
      </c>
    </row>
    <row r="23" ht="60" customHeight="1">
      <c r="A23" s="66" t="inlineStr">
        <is>
          <t>PATH_B</t>
        </is>
      </c>
      <c r="B23" s="67" t="inlineStr">
        <is>
          <t>PATH_B_FEE_SUBSTANTIATION.md</t>
        </is>
      </c>
      <c r="C23" s="68" t="inlineStr">
        <is>
          <t>Fee substantiation session report. Amazon fees sourced; TikTok 2024 PDFs image-only; Shopify routing analyzed. Steps 1-3 complete.</t>
        </is>
      </c>
      <c r="D23" s="72" t="inlineStr">
        <is>
          <t>Analysis</t>
        </is>
      </c>
    </row>
    <row r="24" ht="60" customHeight="1">
      <c r="A24" s="66" t="inlineStr">
        <is>
          <t>L5_AUDIT</t>
        </is>
      </c>
      <c r="B24" s="67" t="inlineStr">
        <is>
          <t>LAYER_5_COHERENCE_AUDIT.md</t>
        </is>
      </c>
      <c r="C24" s="68" t="inlineStr">
        <is>
          <t>SGM 2024 waterfall coherence audit. No material double-count. Corrected loss −$173,543 → −$172,793. Freight found missing from prior model.</t>
        </is>
      </c>
      <c r="D24" s="72" t="inlineStr">
        <is>
          <t>Analysis</t>
        </is>
      </c>
    </row>
    <row r="25" ht="60" customHeight="1">
      <c r="A25" s="66" t="inlineStr">
        <is>
          <t>CLAUDE_MD</t>
        </is>
      </c>
      <c r="B25" s="67" t="inlineStr">
        <is>
          <t>CLAUDE.md (ORCHESTRATION_STATE.md)</t>
        </is>
      </c>
      <c r="C25" s="68" t="inlineStr">
        <is>
          <t>Master truth file. All locked figures, owner decisions, TJ action items. Layer 6 Layer 12 final figures: SGM 2024 −$192K inv / −$250K cash.</t>
        </is>
      </c>
      <c r="D25" s="72" t="inlineStr">
        <is>
          <t>Orchestration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2026-07-11T04:57:25Z</dcterms:created>
  <dcterms:modified xsi:type="dcterms:W3CDTF">2026-07-11T04:57:25Z</dcterms:modified>
</cp:coreProperties>
</file>